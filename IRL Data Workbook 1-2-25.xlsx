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2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3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4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5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6.xml" ContentType="application/vnd.openxmlformats-officedocument.themeOverrid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7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8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9.xml" ContentType="application/vnd.openxmlformats-officedocument.themeOverride+xml"/>
  <Override PartName="/xl/drawings/drawing4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6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drawings/drawing7.xml" ContentType="application/vnd.openxmlformats-officedocument.drawing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45d85f3c6a809f/Documents/Research/paper drafting GEOHEALTH/"/>
    </mc:Choice>
  </mc:AlternateContent>
  <xr:revisionPtr revIDLastSave="0" documentId="8_{C73FCD9D-E121-4EB7-9A89-D4ABA0915E53}" xr6:coauthVersionLast="47" xr6:coauthVersionMax="47" xr10:uidLastSave="{00000000-0000-0000-0000-000000000000}"/>
  <bookViews>
    <workbookView xWindow="-28920" yWindow="2085" windowWidth="29040" windowHeight="15720" firstSheet="3" activeTab="3" xr2:uid="{4B12B8ED-71E6-4F64-AF05-316EC8D8A4FA}"/>
  </bookViews>
  <sheets>
    <sheet name="FinalStats" sheetId="1" r:id="rId1"/>
    <sheet name="Component Identification" sheetId="10" r:id="rId2"/>
    <sheet name="Sentinel-3 Identification" sheetId="12" r:id="rId3"/>
    <sheet name="8-3SampledPixels" sheetId="7" r:id="rId4"/>
    <sheet name="Algal Division BV averages" sheetId="9" r:id="rId5"/>
    <sheet name="Cell Count" sheetId="3" r:id="rId6"/>
    <sheet name="Cell Count Figures" sheetId="4" r:id="rId7"/>
    <sheet name="TIC TC TOC CN" sheetId="6" r:id="rId8"/>
    <sheet name="10nm Pigment+Mineral ID" sheetId="13" r:id="rId9"/>
    <sheet name="Spectral Library Meta data" sheetId="11" r:id="rId10"/>
  </sheets>
  <definedNames>
    <definedName name="_xlnm._FilterDatabase" localSheetId="7" hidden="1">'TIC TC TOC CN'!$A$21:$D$26</definedName>
    <definedName name="ActiveRow">1</definedName>
  </definedNames>
  <calcPr calcId="191029"/>
  <pivotCaches>
    <pivotCache cacheId="24" r:id="rId11"/>
    <pivotCache cacheId="25" r:id="rId12"/>
    <pivotCache cacheId="26" r:id="rId13"/>
    <pivotCache cacheId="27" r:id="rId14"/>
    <pivotCache cacheId="28" r:id="rId15"/>
    <pivotCache cacheId="29" r:id="rId16"/>
    <pivotCache cacheId="30" r:id="rId17"/>
    <pivotCache cacheId="31" r:id="rId18"/>
    <pivotCache cacheId="32" r:id="rId19"/>
    <pivotCache cacheId="33" r:id="rId20"/>
    <pivotCache cacheId="34" r:id="rId21"/>
    <pivotCache cacheId="35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4" i="9" l="1"/>
  <c r="BC4" i="9"/>
  <c r="BD4" i="9"/>
  <c r="BE4" i="9"/>
  <c r="BF4" i="9"/>
  <c r="BG4" i="9"/>
  <c r="BH4" i="9"/>
  <c r="BI4" i="9"/>
  <c r="BB5" i="9"/>
  <c r="BC5" i="9"/>
  <c r="BD5" i="9"/>
  <c r="BE5" i="9"/>
  <c r="BF5" i="9"/>
  <c r="BG5" i="9"/>
  <c r="BH5" i="9"/>
  <c r="BI5" i="9"/>
  <c r="BB6" i="9"/>
  <c r="BC6" i="9"/>
  <c r="BD6" i="9"/>
  <c r="BE6" i="9"/>
  <c r="BF6" i="9"/>
  <c r="BG6" i="9"/>
  <c r="BH6" i="9"/>
  <c r="BI6" i="9"/>
  <c r="BB7" i="9"/>
  <c r="BC7" i="9"/>
  <c r="BD7" i="9"/>
  <c r="BE7" i="9"/>
  <c r="BF7" i="9"/>
  <c r="BG7" i="9"/>
  <c r="BH7" i="9"/>
  <c r="BI7" i="9"/>
  <c r="BI3" i="9"/>
  <c r="BB3" i="9"/>
  <c r="BC3" i="9"/>
  <c r="BD3" i="9"/>
  <c r="BE3" i="9"/>
  <c r="BF3" i="9"/>
  <c r="BG3" i="9"/>
  <c r="BH3" i="9"/>
  <c r="BI2" i="9"/>
  <c r="BH2" i="9"/>
  <c r="BG2" i="9"/>
  <c r="BF2" i="9"/>
  <c r="BE2" i="9"/>
  <c r="BD2" i="9"/>
  <c r="BC2" i="9"/>
  <c r="BB2" i="9"/>
  <c r="R14" i="7"/>
  <c r="T14" i="7" s="1"/>
  <c r="R16" i="7"/>
  <c r="T16" i="7" s="1"/>
  <c r="V16" i="7" s="1"/>
  <c r="R15" i="7"/>
  <c r="T15" i="7" s="1"/>
  <c r="V15" i="7" s="1"/>
  <c r="R19" i="7"/>
  <c r="T19" i="7" s="1"/>
  <c r="V19" i="7" s="1"/>
  <c r="R18" i="7"/>
  <c r="T18" i="7" s="1"/>
  <c r="V18" i="7" s="1"/>
  <c r="R17" i="7"/>
  <c r="T17" i="7" s="1"/>
  <c r="V17" i="7" s="1"/>
  <c r="C8" i="6" l="1"/>
  <c r="E8" i="6" s="1"/>
  <c r="F8" i="6" s="1"/>
  <c r="C7" i="6"/>
  <c r="E7" i="6" s="1"/>
  <c r="F7" i="6" s="1"/>
  <c r="C6" i="6"/>
  <c r="E6" i="6" s="1"/>
  <c r="F6" i="6" s="1"/>
  <c r="C5" i="6"/>
  <c r="E5" i="6" s="1"/>
  <c r="F5" i="6" s="1"/>
  <c r="C4" i="6"/>
  <c r="E4" i="6" s="1"/>
  <c r="F4" i="6" s="1"/>
  <c r="C3" i="6"/>
  <c r="E3" i="6" s="1"/>
  <c r="F3" i="6" s="1"/>
  <c r="J27" i="3"/>
</calcChain>
</file>

<file path=xl/sharedStrings.xml><?xml version="1.0" encoding="utf-8"?>
<sst xmlns="http://schemas.openxmlformats.org/spreadsheetml/2006/main" count="1890" uniqueCount="684">
  <si>
    <t>Wavelengths</t>
  </si>
  <si>
    <t>Eigenvalues</t>
  </si>
  <si>
    <t>Total</t>
  </si>
  <si>
    <t>Frac Var</t>
  </si>
  <si>
    <t>Extracted Frac Var</t>
  </si>
  <si>
    <t>STATION</t>
  </si>
  <si>
    <t>SAMPLE DATE</t>
  </si>
  <si>
    <t>GENUS</t>
  </si>
  <si>
    <t>DIVISION</t>
  </si>
  <si>
    <t>TALLY</t>
  </si>
  <si>
    <t>DENSITY cells/L</t>
  </si>
  <si>
    <r>
      <t>Total BVum</t>
    </r>
    <r>
      <rPr>
        <vertAlign val="superscript"/>
        <sz val="10"/>
        <rFont val="Aptos Display"/>
        <family val="1"/>
        <scheme val="major"/>
      </rPr>
      <t>3</t>
    </r>
    <r>
      <rPr>
        <sz val="10"/>
        <rFont val="Aptos Display"/>
        <family val="1"/>
        <scheme val="major"/>
      </rPr>
      <t>/L</t>
    </r>
  </si>
  <si>
    <t>NOTES</t>
  </si>
  <si>
    <t>BARGE JCT.</t>
  </si>
  <si>
    <t>Cyclotella sp.</t>
  </si>
  <si>
    <t>Bacillariophyta</t>
  </si>
  <si>
    <t>Cylindrotheca closterium</t>
  </si>
  <si>
    <t>Nitzschia sp.</t>
  </si>
  <si>
    <t>Skeletonema sp.</t>
  </si>
  <si>
    <t>Chlorella sp.</t>
  </si>
  <si>
    <t>Chlorophyta</t>
  </si>
  <si>
    <t>Pyramimonas sp.</t>
  </si>
  <si>
    <t>Barge Junction 8/1/22</t>
  </si>
  <si>
    <t>Teleaulax amphioxeia</t>
  </si>
  <si>
    <t>Cryptophyta</t>
  </si>
  <si>
    <t>Row Labels</t>
  </si>
  <si>
    <t>Sum of Total BVum3/L</t>
  </si>
  <si>
    <t>Aphanocapsa sp.</t>
  </si>
  <si>
    <t>Cyanobacteria</t>
  </si>
  <si>
    <t>Chroococcus sp.</t>
  </si>
  <si>
    <t>Miozoa</t>
  </si>
  <si>
    <t>cf. Cyanodictyon sp.</t>
  </si>
  <si>
    <t>Ochrophyta</t>
  </si>
  <si>
    <t>Eucapsis microscopica</t>
  </si>
  <si>
    <t>Eucapsis sp.</t>
  </si>
  <si>
    <t>Merismopedia sp.</t>
  </si>
  <si>
    <t>cf. Microcystis sp.</t>
  </si>
  <si>
    <t>Grand Total</t>
  </si>
  <si>
    <t>Planktolyngbya sp.</t>
  </si>
  <si>
    <t>Snowella sp.</t>
  </si>
  <si>
    <t>cf. Nannochloropsis sp.</t>
  </si>
  <si>
    <t>Ochromonas sp.</t>
  </si>
  <si>
    <t>Gymnodinium sp.</t>
  </si>
  <si>
    <t>TOTAL</t>
  </si>
  <si>
    <t>SYKES</t>
  </si>
  <si>
    <t>Cocconeis sp.</t>
  </si>
  <si>
    <t>cf. Cyclotella sp.</t>
  </si>
  <si>
    <t>Sykes Creek 8/1/22</t>
  </si>
  <si>
    <t>Gyrosigma sp.</t>
  </si>
  <si>
    <t>Sum of 1.81E+07</t>
  </si>
  <si>
    <t>Drepanochloris nannoselene</t>
  </si>
  <si>
    <t>Pedinomonas sp.</t>
  </si>
  <si>
    <t>Plagioselmis nannoplanctica</t>
  </si>
  <si>
    <t>cf. Dolichospermum sp.</t>
  </si>
  <si>
    <t>Oscillatoria sp.</t>
  </si>
  <si>
    <t>Prorocentrum sp.</t>
  </si>
  <si>
    <t>Protoperidinium sp.</t>
  </si>
  <si>
    <t>Sykes Creek 8/3/22</t>
  </si>
  <si>
    <t>Sum of 4.93E+07</t>
  </si>
  <si>
    <t>Pseudanabaena sp.</t>
  </si>
  <si>
    <t>Haptophyta</t>
  </si>
  <si>
    <t>Chrysochromulina sp.</t>
  </si>
  <si>
    <t>052</t>
  </si>
  <si>
    <t>Cannot meet tally in 50 fields.</t>
  </si>
  <si>
    <t>OS2 8/3/22</t>
  </si>
  <si>
    <t>Sum of 5.01E+06</t>
  </si>
  <si>
    <t>Ceratium sp.</t>
  </si>
  <si>
    <t>Barge Junction 8/3/22</t>
  </si>
  <si>
    <t>Sum of 4.10E+07</t>
  </si>
  <si>
    <t>Chroomonas sp.</t>
  </si>
  <si>
    <t>Cryptomonas sp.</t>
  </si>
  <si>
    <t>cf. Karlodinium sp.</t>
  </si>
  <si>
    <t>OS2 8/1/22</t>
  </si>
  <si>
    <t>cf. Chlamydomonas sp.</t>
  </si>
  <si>
    <t>Sum of 1.83E+07</t>
  </si>
  <si>
    <t>cf. Chlorella sp.</t>
  </si>
  <si>
    <t>G5</t>
  </si>
  <si>
    <t>Grand South 8/1/22</t>
  </si>
  <si>
    <t>Sum of 2.83E+08</t>
  </si>
  <si>
    <t>cf. Phormidium sp.</t>
  </si>
  <si>
    <t>Nannochloropsis sp.</t>
  </si>
  <si>
    <t>CARS PARK</t>
  </si>
  <si>
    <t>Kars Park 8/3/22</t>
  </si>
  <si>
    <t>cf. Fragilaria sp.</t>
  </si>
  <si>
    <t>Sum of 5.74E+07</t>
  </si>
  <si>
    <t>cf. Thalassionema sp.</t>
  </si>
  <si>
    <t>051</t>
  </si>
  <si>
    <t>Thalassionema sp.</t>
  </si>
  <si>
    <t>OS1 8/3/22</t>
  </si>
  <si>
    <t>Urosolenia sp.</t>
  </si>
  <si>
    <t>Sum of 4.18E+06</t>
  </si>
  <si>
    <t>Phormidium sp.</t>
  </si>
  <si>
    <t>Karlodinium sp.</t>
  </si>
  <si>
    <t>KARS</t>
  </si>
  <si>
    <t>Kars Park 8/1/22</t>
  </si>
  <si>
    <t>Sum of 2.24E+07</t>
  </si>
  <si>
    <t>Grand South 8/3/22</t>
  </si>
  <si>
    <t>GRAND SOUTH</t>
  </si>
  <si>
    <t>Sum of 2.49E+06</t>
  </si>
  <si>
    <t>Acanthoceras sp.</t>
  </si>
  <si>
    <t>Encyonema sp.</t>
  </si>
  <si>
    <t>OS1 8/1/22</t>
  </si>
  <si>
    <t>Sum of 7.92E+07</t>
  </si>
  <si>
    <t>Barge Junction</t>
  </si>
  <si>
    <t>Sykes Creek</t>
  </si>
  <si>
    <t>OS2</t>
  </si>
  <si>
    <t xml:space="preserve">Grand South </t>
  </si>
  <si>
    <t>Kars Park</t>
  </si>
  <si>
    <t>OS1</t>
  </si>
  <si>
    <t xml:space="preserve"> 8/3/22</t>
  </si>
  <si>
    <t>Site</t>
  </si>
  <si>
    <t>CaCO3 (Wt %)</t>
  </si>
  <si>
    <t>TIC (Wt %)</t>
  </si>
  <si>
    <t>TC (Wt %)</t>
  </si>
  <si>
    <t>TOC (Wt %)</t>
  </si>
  <si>
    <t>C:N (Wt %/Wt %)</t>
  </si>
  <si>
    <t>TN (Wt %)</t>
  </si>
  <si>
    <t>Notes</t>
  </si>
  <si>
    <t>(Wt %)</t>
  </si>
  <si>
    <t>(Wt %/Wt %)</t>
  </si>
  <si>
    <t>Grand South</t>
  </si>
  <si>
    <t>Offshore 2</t>
  </si>
  <si>
    <t>Issue with TN peak, probably a little less than 0.04</t>
  </si>
  <si>
    <t>Offshore 1</t>
  </si>
  <si>
    <t>NA</t>
  </si>
  <si>
    <t>ODO % local</t>
  </si>
  <si>
    <t>ODO mg/L</t>
  </si>
  <si>
    <t>ORP mV</t>
  </si>
  <si>
    <t>OS1 8/3</t>
  </si>
  <si>
    <t>Grand South 8/3</t>
  </si>
  <si>
    <t>Barge 8/3</t>
  </si>
  <si>
    <t>OS2 8/3</t>
  </si>
  <si>
    <t>Kars Park 8/3</t>
  </si>
  <si>
    <t>Sykes Creek 8/3</t>
  </si>
  <si>
    <t>id</t>
  </si>
  <si>
    <t>Location</t>
  </si>
  <si>
    <t>Chl ug/L</t>
  </si>
  <si>
    <t>fDOM QSU</t>
  </si>
  <si>
    <t>nLF Cond µS/cm</t>
  </si>
  <si>
    <t>ODO % sat</t>
  </si>
  <si>
    <t>Turbidity FNU</t>
  </si>
  <si>
    <t>Temp °C</t>
  </si>
  <si>
    <t>Component 1</t>
  </si>
  <si>
    <t>Component 2</t>
  </si>
  <si>
    <t>Component 3</t>
  </si>
  <si>
    <t>Component 4</t>
  </si>
  <si>
    <t>Component 5</t>
  </si>
  <si>
    <t>Component 6</t>
  </si>
  <si>
    <t>dRdl Comm 1-3</t>
  </si>
  <si>
    <t>dRdl Comm 4-6</t>
  </si>
  <si>
    <t>dRdl Comm Total</t>
  </si>
  <si>
    <t>3/8/2022</t>
  </si>
  <si>
    <t>2</t>
  </si>
  <si>
    <t>3.61E+04</t>
  </si>
  <si>
    <t>5.01E+06</t>
  </si>
  <si>
    <t>Details for Sum of 5.01E+06 - Bacillariophyta: Miozoa</t>
  </si>
  <si>
    <t>Formula1</t>
  </si>
  <si>
    <t>Formula2</t>
  </si>
  <si>
    <t>Algal Division</t>
  </si>
  <si>
    <t>Barge Junction 8/1/22 BVum3/L</t>
  </si>
  <si>
    <t xml:space="preserve">Sykes Creek 8/1/22 </t>
  </si>
  <si>
    <t>Sykes Creek 8/1/22 BVum3/L</t>
  </si>
  <si>
    <t>Sykes Creek 8/3/22 BVum3/L</t>
  </si>
  <si>
    <t>OS2 8/3/22 BVum3/L</t>
  </si>
  <si>
    <t>Barge Junction 8/3/22 BVum3/L</t>
  </si>
  <si>
    <t>OS2 8/1/22 BVum3/L</t>
  </si>
  <si>
    <t>Grand South 8/1/22 BVum3/L</t>
  </si>
  <si>
    <t>Kars Park 8/3/22 BVum3/L</t>
  </si>
  <si>
    <t>OS1 8/3/22 BVum3/L</t>
  </si>
  <si>
    <t>Kars Park 8/1/22 BVum3/L</t>
  </si>
  <si>
    <t>Grand South 8/3/22 BVum3/L</t>
  </si>
  <si>
    <t>OS1 8/1/22 BVum3/L</t>
  </si>
  <si>
    <t>Sample Location</t>
  </si>
  <si>
    <t>Sample Location and Date</t>
  </si>
  <si>
    <t>Bacillariophyta (BVum3/L)</t>
  </si>
  <si>
    <t>Chlorophyta  (BVum3/L)</t>
  </si>
  <si>
    <t>Cryptophyta  (BVum3/L)</t>
  </si>
  <si>
    <t>Cyanobacteria  (BVum3/L)</t>
  </si>
  <si>
    <t>Haptophyta  (BVum3/L)</t>
  </si>
  <si>
    <t>Miozoa  (BVum3/L)</t>
  </si>
  <si>
    <t>Ochrophyta  (BVum3/L)</t>
  </si>
  <si>
    <t>Grand Total  (BVum3/L)</t>
  </si>
  <si>
    <t xml:space="preserve">Barge Junction 8/1/22 </t>
  </si>
  <si>
    <t xml:space="preserve">Sykes Creek 8/3/22 </t>
  </si>
  <si>
    <t xml:space="preserve">OS2 8/3/22 </t>
  </si>
  <si>
    <t xml:space="preserve">Barge Junction 8/3/22 </t>
  </si>
  <si>
    <t xml:space="preserve">OS2 8/1/22 </t>
  </si>
  <si>
    <t xml:space="preserve">Grand South 8/1/22 </t>
  </si>
  <si>
    <t xml:space="preserve">Kars Park 8/3/22 </t>
  </si>
  <si>
    <t xml:space="preserve">OS1 8/3/22 </t>
  </si>
  <si>
    <t xml:space="preserve">Kars Park 8/1/22 </t>
  </si>
  <si>
    <t xml:space="preserve">Grand South 8/3/22 </t>
  </si>
  <si>
    <t xml:space="preserve">OS1 8/1/22 </t>
  </si>
  <si>
    <t>Transpose and clean up labeling</t>
  </si>
  <si>
    <t>Sort algal divisions alphabetically then add missing division entries as 0 values</t>
  </si>
  <si>
    <t>Sort by date</t>
  </si>
  <si>
    <t>Average By site</t>
  </si>
  <si>
    <t>Total Biovolume  (BVum3/L)</t>
  </si>
  <si>
    <t>correlation</t>
  </si>
  <si>
    <t>No</t>
  </si>
  <si>
    <t>All strong</t>
  </si>
  <si>
    <t>Moderate</t>
  </si>
  <si>
    <t>Correlation</t>
  </si>
  <si>
    <t>8/1/22 Bacillariophyta (BVum3/L)</t>
  </si>
  <si>
    <t>8/1/22 Chlorophyta (BVum3/L)</t>
  </si>
  <si>
    <t>8/1/22 Cryptophyta (BVum3/L)</t>
  </si>
  <si>
    <t>8/1/22 Cyanobacteria (BVum3/L)</t>
  </si>
  <si>
    <t>8/1/22 Haptophyta (BVum3/L)</t>
  </si>
  <si>
    <t>8/1/22 Miozoa (BVum3/L)</t>
  </si>
  <si>
    <t>8/1/22 Ochrophyta (BVum3/L)</t>
  </si>
  <si>
    <t>8/1/22 Grand Total (BVum3/L)</t>
  </si>
  <si>
    <t>8/3/22 Bacillariophyta (BVum3/L)</t>
  </si>
  <si>
    <t>8/3/22 Chlorophyta (BVum3/L)</t>
  </si>
  <si>
    <t>8/3/22 Cryptophyta (BVum3/L)</t>
  </si>
  <si>
    <t>8/3/22 Cyanobacteria (BVum3/L)</t>
  </si>
  <si>
    <t>8/3/22 Haptophyta (BVum3/L)</t>
  </si>
  <si>
    <t>8/3/22 Miozoa (BVum3/L)</t>
  </si>
  <si>
    <t>8/3/22 Ochrophyta (BVum3/L)</t>
  </si>
  <si>
    <t>8/3/22 Grand Total (BVum3/L)</t>
  </si>
  <si>
    <t>Chl ug/L .5Meter</t>
  </si>
  <si>
    <t>Data for 8/3/2022</t>
  </si>
  <si>
    <t>SAMPLE_VPC1</t>
  </si>
  <si>
    <t>SAMPLE_VPC2</t>
  </si>
  <si>
    <t>SAMPLE_VPC3</t>
  </si>
  <si>
    <t>SAMPLE_VPC4</t>
  </si>
  <si>
    <t>SAMPLE_VPC5</t>
  </si>
  <si>
    <t>SAMPLE_VPC6</t>
  </si>
  <si>
    <t>λ_centre_nm</t>
  </si>
  <si>
    <t>IRL_Summ2022_Field_ASD_S2r_6VPC_Z1</t>
  </si>
  <si>
    <t>IRL_Summ2022_Field_ASD_S2r_6VPC_Z2</t>
  </si>
  <si>
    <t>IRL_Summ2022_Field_ASD_S2r_6VPC_Z3</t>
  </si>
  <si>
    <t>IRL_Summ2022_Field_ASD_S2r_6VPC_Z4</t>
  </si>
  <si>
    <t>IRL_Summ2022_Field_ASD_S2r_6VPC_Z5</t>
  </si>
  <si>
    <t>IRL_Summ2022_Field_ASD_S2r_6VPC_Z6</t>
  </si>
  <si>
    <t>Sat 20-22 VPC Z1</t>
  </si>
  <si>
    <t>Sat 20-22 VPC Z2</t>
  </si>
  <si>
    <t>Sat 20-22 VPC Z3</t>
  </si>
  <si>
    <t>Sat 20-22 VPC Z4</t>
  </si>
  <si>
    <t>Sat 20-22 VPC Z5</t>
  </si>
  <si>
    <t>Sat 20-22 VPC Z6</t>
  </si>
  <si>
    <t>Sat8-3-22VPC Z1</t>
  </si>
  <si>
    <t>Sat 8-3-22VPC Z2</t>
  </si>
  <si>
    <t>Sat8-3-22VPC Z3</t>
  </si>
  <si>
    <t>Sat8-3-22VPC Z4</t>
  </si>
  <si>
    <t>Sat8-3-22VPC Z5</t>
  </si>
  <si>
    <t>Sat8-3-22VPC Z6</t>
  </si>
  <si>
    <t>Band</t>
  </si>
  <si>
    <t>Pure_Water_Zdrdl</t>
  </si>
  <si>
    <t>Bacteriorhodopsin_Zdrdl</t>
  </si>
  <si>
    <t>Chl-a_Zdrdl</t>
  </si>
  <si>
    <t>Chl-b_Zdrdl</t>
  </si>
  <si>
    <t>Chl_c_Zdrdl</t>
  </si>
  <si>
    <t>Chl-d_Zdrdl</t>
  </si>
  <si>
    <t>Chl-f_Zdrdl</t>
  </si>
  <si>
    <t>Bchl-a_Zdrdl</t>
  </si>
  <si>
    <t>Bchl-b_Zdrdl</t>
  </si>
  <si>
    <t>BChl-d_Zdrdl</t>
  </si>
  <si>
    <t>BChl-e_Zdrdl</t>
  </si>
  <si>
    <t>Sargassum_ASD_061218_BuckIs_ow_Average__Zdrdl</t>
  </si>
  <si>
    <t>Halodule_Zdrdl</t>
  </si>
  <si>
    <t>Halimeda_Zdrdl</t>
  </si>
  <si>
    <t>Syringodium_Zdrdl</t>
  </si>
  <si>
    <t>Thalassia2_Zdrdl</t>
  </si>
  <si>
    <t>Thalassia-green_Zdrdl</t>
  </si>
  <si>
    <t>Thalassia-brown_Zdrdl</t>
  </si>
  <si>
    <t>Thalassia-black_Zdrdl</t>
  </si>
  <si>
    <t>K._brevis_Red_Tide_Zdrdl</t>
  </si>
  <si>
    <t>062618_Alagunesis_GFF1209_corrected_average_Zdrdl</t>
  </si>
  <si>
    <t>Aphanizomenon_flos_aquae_Culture_Average_(Parab,_Mou_&amp;_Ortiz,_2014)_Zdrdl</t>
  </si>
  <si>
    <t>Anabena_Culture_Average__(Parab,_Mou_&amp;_Ortiz,_2014)_Zdrdl</t>
  </si>
  <si>
    <t>Average_Oscillatoriq_planktonica_Culture_Average__(Parab,_Mou_&amp;_Ortiz,_2014)_Zdrdl</t>
  </si>
  <si>
    <t>Microsystis_Culture_Average__(Parab,_Mou_&amp;_Ortiz,_2014)_Zdrdl</t>
  </si>
  <si>
    <t>HAB_Cyanobacterial_Culture_Average_Zdrdl_Parab_Mou_Ortiz_2014_Zdrdl</t>
  </si>
  <si>
    <t>chl-a+carotenoids_Zdrdl</t>
  </si>
  <si>
    <t>chlorophyll_a_cyanophyta_Zdrdl</t>
  </si>
  <si>
    <t>chlorophyll_a_Zdrdl</t>
  </si>
  <si>
    <t>phycocyanin_2_Zdrdl</t>
  </si>
  <si>
    <t>phycoerythrin_Zdrdl</t>
  </si>
  <si>
    <t>allophycocyanin_Zdrdl</t>
  </si>
  <si>
    <t>a-PEC_Zdrdl</t>
  </si>
  <si>
    <t>chlorophyll_b_cyanophyta_Zdrdl</t>
  </si>
  <si>
    <t>carotenoids_cyanophyta_Zdrdl</t>
  </si>
  <si>
    <t>myxoxanthophyll_Zdrdl</t>
  </si>
  <si>
    <t>phycocyanin_Zdrdl</t>
  </si>
  <si>
    <t>chlorophyceae_Zdrdl</t>
  </si>
  <si>
    <t>bacillariophyceae_Zdrdl</t>
  </si>
  <si>
    <t>cyanobacteria_Zdrdl</t>
  </si>
  <si>
    <t>dinophyta_Zdrdl</t>
  </si>
  <si>
    <t>bacillariophyta_Zdrdl</t>
  </si>
  <si>
    <t>haptophyta_Zdrdl</t>
  </si>
  <si>
    <t>chlorophyta_Zdrdl</t>
  </si>
  <si>
    <t>cryptophyta_Zdrdl</t>
  </si>
  <si>
    <t>cyanophyta_Zdrdl</t>
  </si>
  <si>
    <t>a-carotene_Zdrdl</t>
  </si>
  <si>
    <t>Phaeophytin-a_Zdrdl</t>
  </si>
  <si>
    <t>phaeophorbide-a_Zdrdl</t>
  </si>
  <si>
    <t>nostoxanthin_Zdrdl</t>
  </si>
  <si>
    <t>Alloxanthin_Zdrdl</t>
  </si>
  <si>
    <t>b-carotene_Zdrdl</t>
  </si>
  <si>
    <t>chlorophyllide-a_Zdrdl</t>
  </si>
  <si>
    <t>echinenone_Zdrdl</t>
  </si>
  <si>
    <t>Lutein_Zdrdl</t>
  </si>
  <si>
    <t>chlorophyll-b_Zdrdl</t>
  </si>
  <si>
    <t>chlorophyll-c_Zdrdl</t>
  </si>
  <si>
    <t>chlorophyllide-b_Zdrdl</t>
  </si>
  <si>
    <t>antheraxanthin_Zdrdl</t>
  </si>
  <si>
    <t>trans-neoxanthin_Zdrdl</t>
  </si>
  <si>
    <t>phaeophytin-b_Zdrdl</t>
  </si>
  <si>
    <t>phaeophorbide-b_Zdrdl</t>
  </si>
  <si>
    <t>peridinin_Zdrdl</t>
  </si>
  <si>
    <t>neoxanthin_Zdrdl</t>
  </si>
  <si>
    <t>dinoxanthin_Zdrdl</t>
  </si>
  <si>
    <t>violaxanthin_Zdrdl</t>
  </si>
  <si>
    <t>fucoxanthin_Zdrdl</t>
  </si>
  <si>
    <t>diadinoxanthin_Zdrdl</t>
  </si>
  <si>
    <t>Actinolite HS116.3B S2 Zdrdl</t>
  </si>
  <si>
    <t>Aragonite GDS1073 splib07a 1642 ASDNGc Zdrdl</t>
  </si>
  <si>
    <t>anhydriteASD S2 Zdrdl</t>
  </si>
  <si>
    <t>anhydrite3ASD S2 Zdrdl</t>
  </si>
  <si>
    <t>calcite1ASD S2 Zdrdl</t>
  </si>
  <si>
    <t>chlorite3ASD S2 Zdrdl</t>
  </si>
  <si>
    <t>diatomite3ASD S2 Zdrdl</t>
  </si>
  <si>
    <t>Dolomite COD2005 W1R1BbA S2 Zdrdl</t>
  </si>
  <si>
    <t>Dolomite HS102.3BW1R1BbA S2 Zdrdl</t>
  </si>
  <si>
    <t>Dolomite ML97-3Ferroan W1R1FbA S2 Zdrdl</t>
  </si>
  <si>
    <t>Epidote BR93-33a S2 Zdrdl</t>
  </si>
  <si>
    <t>glauconite1ASD S2 Zdrdl</t>
  </si>
  <si>
    <t>goethiteASD S2 Zdrdl</t>
  </si>
  <si>
    <t>gypsum1ASD S2 Zdrdl</t>
  </si>
  <si>
    <t>gypsum2ASD S2 Zdrdl</t>
  </si>
  <si>
    <t>hematiteASD S2 Zdrdl</t>
  </si>
  <si>
    <t>illite1ASD S2 Zdrdl</t>
  </si>
  <si>
    <t>illite2ASD S2 Zdrdl</t>
  </si>
  <si>
    <t>kaolinite1ASD S2 Zdrdl</t>
  </si>
  <si>
    <t>kaolinite2ASD S2 Zdrdl</t>
  </si>
  <si>
    <t>kaolinite3ASD S2 Zdrdl</t>
  </si>
  <si>
    <t>MuscoviteGDS108W1R1BbA S2 Zdrdl</t>
  </si>
  <si>
    <t>MuscoviteGDS111-Guatemal_W1R1Ba_A S2 Zdrdl</t>
  </si>
  <si>
    <t>NatroliteHS169.3B S2 Zdrdl</t>
  </si>
  <si>
    <t>Ohio Fe concretion inside S2 Zdrdl</t>
  </si>
  <si>
    <t>Ohio Fe concretion outside S2 Zdrdl</t>
  </si>
  <si>
    <t>opalASD S2 Zdrdl</t>
  </si>
  <si>
    <t>PyrolusiteHS138.3B S2 Zdrdl</t>
  </si>
  <si>
    <t>QuartzGDS31 0-74umfr W1R1BaA S2 Zdrdl</t>
  </si>
  <si>
    <t>QuartzGDS74 SandOttawa W1R1BcA S2 Zdrdl</t>
  </si>
  <si>
    <t>QuartzHS117.3BAventurin W1R1BbA S2 Zdrdl</t>
  </si>
  <si>
    <t>Sanidine GDS19 Feldspar W1R1BaA S2 Zdrdl</t>
  </si>
  <si>
    <t>smectite1ASD S2 Zdrdl</t>
  </si>
  <si>
    <t>smectite2ASD S2 Zdrdl</t>
  </si>
  <si>
    <t>smectite3ASD S2 Zdrdl</t>
  </si>
  <si>
    <t>sulfurASD S2 Zdrdl</t>
  </si>
  <si>
    <t>Talc ASD S2 Zdrdl</t>
  </si>
  <si>
    <t>Tremolite ASD S2 Zdrdl</t>
  </si>
  <si>
    <t>USGS Opal hyalite S2 Zdrdl</t>
  </si>
  <si>
    <t>Microcline HS107.3B Feldspar W1R1BdA S2 Zdrdl</t>
  </si>
  <si>
    <t>Pyroxene_Basalt CU01-20A  ASDFRa  splib07a 13145 Zdrdl</t>
  </si>
  <si>
    <t>Basalt_weathered BR93-43  splib07a 11856 BECKb Zdrdl</t>
  </si>
  <si>
    <t>Basalt_fresh BR93-46B splib07a 11848 BECKb Zdrdl</t>
  </si>
  <si>
    <t>Sphalerite HS136.6  splib07a 10107 ASDFRb Zdrdl</t>
  </si>
  <si>
    <t>Calcite WS272 splib07a 2278 ASDNGa Zdrdl</t>
  </si>
  <si>
    <t>Ammonio-Illite/Smect GDS87  splib07a 1013 BECKb Zdrdl</t>
  </si>
  <si>
    <t>Ammonio-Smectite GDS86  splib07a 1054 BECKb Zdrdl</t>
  </si>
  <si>
    <t>Chlor+Goethite CU93-4B Phyl splib07a 12127 BECKa Zdrdl</t>
  </si>
  <si>
    <t>Chlorite HS179.1B splib07a 2614 ASDFRb Zdrdl</t>
  </si>
  <si>
    <t>Chlorite HS179.2B splib07a 2620 ASDFRb Zdrdl</t>
  </si>
  <si>
    <t>Chlorite HS179.3B splib07a 2626 ASDFRb Zdrdl</t>
  </si>
  <si>
    <t>Chlorite HS179.4B splib07a Record=2645 ASDFRb Zdrdl</t>
  </si>
  <si>
    <t>Chlorite HS179.6 splib07a 2651 ASDFRb Zdrdl</t>
  </si>
  <si>
    <t>Chlorite+Muscovite CU93-65A splib07a 12166 ASDNGa Zdrdl</t>
  </si>
  <si>
    <t>Goethite_Phyllite CU91-236A splib07a 12468 ASDFRb Zdrdl</t>
  </si>
  <si>
    <t>Goethite_Thin_Film WS222 splib07a 13451 BECKa Zdrdl</t>
  </si>
  <si>
    <t>Goethite WS222 Coarse Gr. splib07a 4445 BECKa Zdrdl</t>
  </si>
  <si>
    <t>Goethite0.02+Quartz GDS240 splib07a 12463 BECKa Zdrdl</t>
  </si>
  <si>
    <t>Gypsum HS333.1B (Selenite) splib07a 4558 ASDFRa Zdrdl</t>
  </si>
  <si>
    <t>Hematite GDS27 splib07a 4865 BECKa Zdrdl</t>
  </si>
  <si>
    <t>Illite CU00-5B Hi-Al+Quartz splib07a 12563 ASDFRa Zdrdl</t>
  </si>
  <si>
    <t>Illite GDS4.2 Marblehead splib07a 5461 ASDNGb Zdrdl</t>
  </si>
  <si>
    <t>Illite IMt-1.a splib07a 5496 ASDNGb Zdrdl</t>
  </si>
  <si>
    <t>Illite IMt-1.b &lt;2um splib07a 5525 ASDNGa Zdrdl</t>
  </si>
  <si>
    <t>Kaolinite CM3 splib07a 5910 BECKa Zdrdl</t>
  </si>
  <si>
    <t>Montmorillonite+Illite CM42 splib07a 12884 BECKb Zdrdl</t>
  </si>
  <si>
    <t>Chl ug/L .5 Meter</t>
  </si>
  <si>
    <t>SAMPLE Component 1</t>
  </si>
  <si>
    <t>SAMPLE Component 2</t>
  </si>
  <si>
    <t>SAMPLE Compnent 3</t>
  </si>
  <si>
    <t>SAMPLE Component 5</t>
  </si>
  <si>
    <t>SAMPLE Component 6</t>
  </si>
  <si>
    <t>SAMPLE Component 4</t>
  </si>
  <si>
    <t>Phycocyanin</t>
  </si>
  <si>
    <t>Kaolinite</t>
  </si>
  <si>
    <t>Thalassia-brown</t>
  </si>
  <si>
    <t>Chlorite</t>
  </si>
  <si>
    <t>Dinophyta</t>
  </si>
  <si>
    <t>Goethite_Phyllite</t>
  </si>
  <si>
    <t xml:space="preserve">Sphalerite </t>
  </si>
  <si>
    <t>Pigment</t>
  </si>
  <si>
    <t>Mineral</t>
  </si>
  <si>
    <t xml:space="preserve">Bacteriorhodopsin </t>
  </si>
  <si>
    <t xml:space="preserve">Actinolite HS116.3B S2  </t>
  </si>
  <si>
    <t xml:space="preserve">Chl-a </t>
  </si>
  <si>
    <t xml:space="preserve">Aragonite GDS1073 splib07a 1642 ASDNGc  </t>
  </si>
  <si>
    <t xml:space="preserve">Chl-b </t>
  </si>
  <si>
    <t xml:space="preserve">anhydriteASD S2  </t>
  </si>
  <si>
    <t xml:space="preserve">Chl_c </t>
  </si>
  <si>
    <t xml:space="preserve">anhydrite3ASD S2  </t>
  </si>
  <si>
    <t xml:space="preserve">Chl-d </t>
  </si>
  <si>
    <t xml:space="preserve">calcite1ASD S2  </t>
  </si>
  <si>
    <t xml:space="preserve">Chl-f </t>
  </si>
  <si>
    <t xml:space="preserve">chlorite3ASD S2  </t>
  </si>
  <si>
    <t xml:space="preserve">Bchl-a </t>
  </si>
  <si>
    <t xml:space="preserve">diatomite3ASD S2  </t>
  </si>
  <si>
    <t xml:space="preserve">Bchl-b </t>
  </si>
  <si>
    <t xml:space="preserve">Dolomite COD2005 W1R1BbA S2  </t>
  </si>
  <si>
    <t xml:space="preserve">BChl-d </t>
  </si>
  <si>
    <t xml:space="preserve">Dolomite HS102.3BW1R1BbA S2  </t>
  </si>
  <si>
    <t xml:space="preserve">BChl-e </t>
  </si>
  <si>
    <t xml:space="preserve">Dolomite ML97-3Ferroan W1R1FbA S2  </t>
  </si>
  <si>
    <t xml:space="preserve">Sargassum_ASD_061218_BuckIs_ow_Average_ </t>
  </si>
  <si>
    <t xml:space="preserve">Epidote BR93-33a S2  </t>
  </si>
  <si>
    <t xml:space="preserve">Halodule </t>
  </si>
  <si>
    <t xml:space="preserve">glauconite1ASD S2  </t>
  </si>
  <si>
    <t xml:space="preserve">Halimeda </t>
  </si>
  <si>
    <t xml:space="preserve">goethiteASD S2  </t>
  </si>
  <si>
    <t xml:space="preserve">Syringodium </t>
  </si>
  <si>
    <t xml:space="preserve">gypsum1ASD S2  </t>
  </si>
  <si>
    <t xml:space="preserve">Thalassia2 </t>
  </si>
  <si>
    <t xml:space="preserve">gypsum2ASD S2  </t>
  </si>
  <si>
    <t xml:space="preserve">Thalassia-green </t>
  </si>
  <si>
    <t xml:space="preserve">hematiteASD S2  </t>
  </si>
  <si>
    <t xml:space="preserve">Thalassia-brown </t>
  </si>
  <si>
    <t xml:space="preserve">illite1ASD S2  </t>
  </si>
  <si>
    <t xml:space="preserve">Thalassia-black </t>
  </si>
  <si>
    <t xml:space="preserve">illite2ASD S2  </t>
  </si>
  <si>
    <t xml:space="preserve">K._brevis_Red_Tide </t>
  </si>
  <si>
    <t xml:space="preserve">kaolinite1ASD S2  </t>
  </si>
  <si>
    <t xml:space="preserve">062618_Alagunesis_GFF1209_corrected_average </t>
  </si>
  <si>
    <t xml:space="preserve">kaolinite2ASD S2  </t>
  </si>
  <si>
    <t xml:space="preserve">Aphanizomenon_flos_aquae_Culture_Average_(Parab,_Mou_&amp;_Ortiz,_2014) </t>
  </si>
  <si>
    <t xml:space="preserve">kaolinite3ASD S2  </t>
  </si>
  <si>
    <t xml:space="preserve">Anabena_Culture_Average__(Parab,_Mou_&amp;_Ortiz,_2014) </t>
  </si>
  <si>
    <t xml:space="preserve">MuscoviteGDS108W1R1BbA S2  </t>
  </si>
  <si>
    <t xml:space="preserve">Average_Oscillatoriq_planktonica_Culture_Average__(Parab,_Mou_&amp;_Ortiz,_2014) </t>
  </si>
  <si>
    <t xml:space="preserve">MuscoviteGDS111-Guatemal_W1R1Ba_A S2  </t>
  </si>
  <si>
    <t xml:space="preserve">Microsystis_Culture_Average__(Parab,_Mou_&amp;_Ortiz,_2014) </t>
  </si>
  <si>
    <t xml:space="preserve">NatroliteHS169.3B S2  </t>
  </si>
  <si>
    <t xml:space="preserve">HAB_Cyanobacterial_Culture_Average _Parab_Mou_Ortiz_2014 </t>
  </si>
  <si>
    <t xml:space="preserve">Ohio Fe concretion inside S2  </t>
  </si>
  <si>
    <t xml:space="preserve">chl-a+carotenoids </t>
  </si>
  <si>
    <t xml:space="preserve">Ohio Fe concretion outside S2  </t>
  </si>
  <si>
    <t xml:space="preserve">chlorophyll_a_cyanophyta </t>
  </si>
  <si>
    <t xml:space="preserve">opalASD S2  </t>
  </si>
  <si>
    <t xml:space="preserve">chlorophyll_a </t>
  </si>
  <si>
    <t xml:space="preserve">PyrolusiteHS138.3B S2  </t>
  </si>
  <si>
    <t xml:space="preserve">phycocyanin_2 </t>
  </si>
  <si>
    <t xml:space="preserve">QuartzGDS31 0-74umfr W1R1BaA S2  </t>
  </si>
  <si>
    <t xml:space="preserve">phycoerythrin </t>
  </si>
  <si>
    <t xml:space="preserve">QuartzGDS74 SandOttawa W1R1BcA S2  </t>
  </si>
  <si>
    <t xml:space="preserve">allophycocyanin </t>
  </si>
  <si>
    <t xml:space="preserve">QuartzHS117.3BAventurin W1R1BbA S2  </t>
  </si>
  <si>
    <t xml:space="preserve">a-PEC </t>
  </si>
  <si>
    <t xml:space="preserve">Sanidine GDS19 Feldspar W1R1BaA S2  </t>
  </si>
  <si>
    <t xml:space="preserve">chlorophyll_b_cyanophyta </t>
  </si>
  <si>
    <t xml:space="preserve">smectite1ASD S2  </t>
  </si>
  <si>
    <t xml:space="preserve">carotenoids_cyanophyta </t>
  </si>
  <si>
    <t xml:space="preserve">smectite2ASD S2  </t>
  </si>
  <si>
    <t xml:space="preserve">myxoxanthophyll </t>
  </si>
  <si>
    <t xml:space="preserve">smectite3ASD S2  </t>
  </si>
  <si>
    <t xml:space="preserve">phycocyanin </t>
  </si>
  <si>
    <t xml:space="preserve">sulfurASD S2  </t>
  </si>
  <si>
    <t xml:space="preserve">chlorophyceae </t>
  </si>
  <si>
    <t xml:space="preserve">Talc ASD S2  </t>
  </si>
  <si>
    <t xml:space="preserve">bacillariophyceae </t>
  </si>
  <si>
    <t xml:space="preserve">Tremolite ASD S2  </t>
  </si>
  <si>
    <t xml:space="preserve">cyanobacteria </t>
  </si>
  <si>
    <t xml:space="preserve">USGS Opal hyalite S2  </t>
  </si>
  <si>
    <t xml:space="preserve">dinophyta </t>
  </si>
  <si>
    <t xml:space="preserve">Microcline HS107.3B Feldspar W1R1BdA S2  </t>
  </si>
  <si>
    <t xml:space="preserve">bacillariophyta </t>
  </si>
  <si>
    <t xml:space="preserve">Pyroxene_Basalt CU01-20A  ASDFRa  splib07a 13145  </t>
  </si>
  <si>
    <t xml:space="preserve">haptophyta </t>
  </si>
  <si>
    <t xml:space="preserve">Basalt_weathered BR93-43  splib07a 11856 BECKb  </t>
  </si>
  <si>
    <t xml:space="preserve">chlorophyta </t>
  </si>
  <si>
    <t xml:space="preserve">Basalt_fresh BR93-46B splib07a 11848 BECKb  </t>
  </si>
  <si>
    <t xml:space="preserve">cryptophyta </t>
  </si>
  <si>
    <t xml:space="preserve">Sphalerite HS136.6  splib07a 10107 ASDFRb  </t>
  </si>
  <si>
    <t xml:space="preserve">cyanophyta </t>
  </si>
  <si>
    <t xml:space="preserve">Calcite WS272 splib07a 2278 ASDNGa  </t>
  </si>
  <si>
    <t xml:space="preserve">a-carotene </t>
  </si>
  <si>
    <t xml:space="preserve">Ammonio-Illite/Smect GDS87  splib07a 1013 BECKb  </t>
  </si>
  <si>
    <t xml:space="preserve">Phaeophytin-a </t>
  </si>
  <si>
    <t xml:space="preserve">Ammonio-Smectite GDS86  splib07a 1054 BECKb  </t>
  </si>
  <si>
    <t xml:space="preserve">phaeophorbide-a </t>
  </si>
  <si>
    <t xml:space="preserve">Chlor+Goethite CU93-4B Phyl splib07a 12127 BECKa  </t>
  </si>
  <si>
    <t xml:space="preserve">nostoxanthin </t>
  </si>
  <si>
    <t xml:space="preserve">Chlorite HS179.1B splib07a 2614 ASDFRb  </t>
  </si>
  <si>
    <t xml:space="preserve">Alloxanthin </t>
  </si>
  <si>
    <t xml:space="preserve">Chlorite HS179.2B splib07a 2620 ASDFRb  </t>
  </si>
  <si>
    <t xml:space="preserve">b-carotene </t>
  </si>
  <si>
    <t xml:space="preserve">Chlorite HS179.3B splib07a 2626 ASDFRb  </t>
  </si>
  <si>
    <t xml:space="preserve">chlorophyllide-a </t>
  </si>
  <si>
    <t xml:space="preserve">Chlorite HS179.4B splib07a Record=2645 ASDFRb  </t>
  </si>
  <si>
    <t xml:space="preserve">echinenone </t>
  </si>
  <si>
    <t xml:space="preserve">Chlorite HS179.6 splib07a 2651 ASDFRb  </t>
  </si>
  <si>
    <t xml:space="preserve">Lutein </t>
  </si>
  <si>
    <t xml:space="preserve">Chlorite+Muscovite CU93-65A splib07a 12166 ASDNGa  </t>
  </si>
  <si>
    <t xml:space="preserve">chlorophyll-b </t>
  </si>
  <si>
    <t xml:space="preserve">Goethite_Phyllite CU91-236A splib07a 12468 ASDFRb  </t>
  </si>
  <si>
    <t xml:space="preserve">chlorophyll-c </t>
  </si>
  <si>
    <t xml:space="preserve">Goethite_Thin_Film WS222 splib07a 13451 BECKa  </t>
  </si>
  <si>
    <t xml:space="preserve">chlorophyllide-b </t>
  </si>
  <si>
    <t xml:space="preserve">Goethite WS222 Coarse Gr. splib07a 4445 BECKa  </t>
  </si>
  <si>
    <t xml:space="preserve">antheraxanthin </t>
  </si>
  <si>
    <t xml:space="preserve">Goethite0.02+Quartz GDS240 splib07a 12463 BECKa  </t>
  </si>
  <si>
    <t xml:space="preserve">trans-neoxanthin </t>
  </si>
  <si>
    <t xml:space="preserve">Gypsum HS333.1B (Selenite) splib07a 4558 ASDFRa  </t>
  </si>
  <si>
    <t xml:space="preserve">phaeophytin-b </t>
  </si>
  <si>
    <t xml:space="preserve">Hematite GDS27 splib07a 4865 BECKa  </t>
  </si>
  <si>
    <t xml:space="preserve">phaeophorbide-b </t>
  </si>
  <si>
    <t xml:space="preserve">Illite CU00-5B Hi-Al+Quartz splib07a 12563 ASDFRa  </t>
  </si>
  <si>
    <t xml:space="preserve">peridinin </t>
  </si>
  <si>
    <t xml:space="preserve">Illite GDS4.2 Marblehead splib07a 5461 ASDNGb  </t>
  </si>
  <si>
    <t xml:space="preserve">neoxanthin </t>
  </si>
  <si>
    <t xml:space="preserve">Illite IMt-1.a splib07a 5496 ASDNGb  </t>
  </si>
  <si>
    <t xml:space="preserve">dinoxanthin </t>
  </si>
  <si>
    <t xml:space="preserve">Illite IMt-1.b &lt;2um splib07a 5525 ASDNGa  </t>
  </si>
  <si>
    <t xml:space="preserve">violaxanthin </t>
  </si>
  <si>
    <t xml:space="preserve">Kaolinite CM3 splib07a 5910 BECKa  </t>
  </si>
  <si>
    <t xml:space="preserve">fucoxanthin </t>
  </si>
  <si>
    <t xml:space="preserve">Montmorillonite+Illite CM42 splib07a 12884 BECKb  </t>
  </si>
  <si>
    <t xml:space="preserve">diadinoxanthin </t>
  </si>
  <si>
    <t>Pure Water</t>
  </si>
  <si>
    <t>Field Component 1</t>
  </si>
  <si>
    <t>Field Component 2</t>
  </si>
  <si>
    <t>Field Component 3</t>
  </si>
  <si>
    <t>Field Component 4</t>
  </si>
  <si>
    <t>Field Component 5</t>
  </si>
  <si>
    <t>Field Component 6</t>
  </si>
  <si>
    <t>Sentinel-2 8-3-22 Component 1</t>
  </si>
  <si>
    <t>Sentinel-2 8-3-22 Component 2</t>
  </si>
  <si>
    <t>Sentinel-2 8-3-22 Component 3</t>
  </si>
  <si>
    <t>Sentinel-2 8-3-22 Component 4</t>
  </si>
  <si>
    <t>Sentinel-2 8-3-22 Component 5</t>
  </si>
  <si>
    <t>Sentinel-2 8-3-22 Component 6</t>
  </si>
  <si>
    <t>λ centre (nm)</t>
  </si>
  <si>
    <t>Pure Water Zdrdl</t>
  </si>
  <si>
    <t>Bacteriorhodopsin Zdrdl</t>
  </si>
  <si>
    <t>Chl-a Zdrdl</t>
  </si>
  <si>
    <t>Chl-b Zdrdl</t>
  </si>
  <si>
    <t>Chl c Zdrdl</t>
  </si>
  <si>
    <t>Chl-d Zdrdl</t>
  </si>
  <si>
    <t>Chl-f Zdrdl</t>
  </si>
  <si>
    <t>Bchl-a Zdrdl</t>
  </si>
  <si>
    <t>Bchl-b Zdrdl</t>
  </si>
  <si>
    <t>BChl-d Zdrdl</t>
  </si>
  <si>
    <t>BChl-e Zdrdl</t>
  </si>
  <si>
    <t>Sargassum ASD 061218_BuckIs_ow Average  Zdrdl</t>
  </si>
  <si>
    <t>Halodule Zdrdl</t>
  </si>
  <si>
    <t>Halimeda Zdrdl</t>
  </si>
  <si>
    <t>Syringodium Zdrdl</t>
  </si>
  <si>
    <t>Thalassia2 Zdrdl</t>
  </si>
  <si>
    <t>Thalassia-green Zdrdl</t>
  </si>
  <si>
    <t>Thalassia-brown Zdrdl</t>
  </si>
  <si>
    <t>Thalassia-black Zdrdl</t>
  </si>
  <si>
    <t>K. brevis Red Tide Zdrdl</t>
  </si>
  <si>
    <t>062618_ALagunesis_GFF1209 corrected average Zdrdl</t>
  </si>
  <si>
    <t>Aphanizomenon flos aquae Culture Average (Parab, Mou &amp; Ortiz, 2014) Zdrdl</t>
  </si>
  <si>
    <t>Anabena Culture Average  (Parab, Mou &amp; Ortiz, 2014) Zdrdl</t>
  </si>
  <si>
    <t>Average Oscillatoriq planktonica Culture Average  (Parab, Mou &amp; Ortiz, 2014) Zdrdl</t>
  </si>
  <si>
    <t>Microsystis Culture Average  (Parab, Mou &amp; Ortiz, 2014) Zdrdl</t>
  </si>
  <si>
    <t>HAB_Cyanobacterial_Culture_Average_Zdrdl_Parab_Mou_Ortiz_2014 Zdrdl</t>
  </si>
  <si>
    <t>chl-a+carotenoids Zdrdl</t>
  </si>
  <si>
    <t>chlorophyll a cyanophyta Zdrdl</t>
  </si>
  <si>
    <t>chlorophyll a Zdrdl</t>
  </si>
  <si>
    <t>phycocyanin 2 Zdrdl</t>
  </si>
  <si>
    <t>phycoerythrin Zdrdl</t>
  </si>
  <si>
    <t>allophycocyanin Zdrdl</t>
  </si>
  <si>
    <t>a-PEC Zdrdl</t>
  </si>
  <si>
    <t>chlorophyll b cyanophyta Zdrdl</t>
  </si>
  <si>
    <t>carotenoids cyanophyta Zdrdl</t>
  </si>
  <si>
    <t>myxoxanthophyll Zdrdl</t>
  </si>
  <si>
    <t>phycocyanin Zdrdl</t>
  </si>
  <si>
    <t>chlorophyceae Zdrdl</t>
  </si>
  <si>
    <t>bacillariophyceae Zdrdl</t>
  </si>
  <si>
    <t>cyanobacteria Zdrdl</t>
  </si>
  <si>
    <t>dinophyta Zdrdl</t>
  </si>
  <si>
    <t>bacillariophyta Zdrdl</t>
  </si>
  <si>
    <t>haptophyta Zdrdl</t>
  </si>
  <si>
    <t>chlorophyta Zdrdl</t>
  </si>
  <si>
    <t>cryptophyta Zdrdl</t>
  </si>
  <si>
    <t>cyanophyta Zdrdl</t>
  </si>
  <si>
    <t>a-carotene Zdrdl</t>
  </si>
  <si>
    <t>Phaeophytin-a Zdrdl</t>
  </si>
  <si>
    <t>phaeophorbide-a Zdrdl</t>
  </si>
  <si>
    <t>nostoxanthin Zdrdl</t>
  </si>
  <si>
    <t>Alloxanthin Zdrdl</t>
  </si>
  <si>
    <t>b-carotene Zdrdl</t>
  </si>
  <si>
    <t>chlorophyllide-a Zdrdl</t>
  </si>
  <si>
    <t>echinenone Zdrdl</t>
  </si>
  <si>
    <t>Lutein Zdrdl</t>
  </si>
  <si>
    <t>chlorophyll-b Zdrdl</t>
  </si>
  <si>
    <t>chlorophyll-c Zdrdl</t>
  </si>
  <si>
    <t>chlorophyllide-b Zdrdl</t>
  </si>
  <si>
    <t>antheraxanthin Zdrdl</t>
  </si>
  <si>
    <t>trans-neoxanthin Zdrdl</t>
  </si>
  <si>
    <t>phaeophytin-b Zdrdl</t>
  </si>
  <si>
    <t>phaeophorbide-b Zdrdl</t>
  </si>
  <si>
    <t>peridinin Zdrdl</t>
  </si>
  <si>
    <t>neoxanthin Zdrdl</t>
  </si>
  <si>
    <t>dinoxanthin Zdrdl</t>
  </si>
  <si>
    <t>violaxanthin Zdrdl</t>
  </si>
  <si>
    <t>fucoxanthin Zdrdl</t>
  </si>
  <si>
    <t>diadinoxanthin Zdrdl</t>
  </si>
  <si>
    <t>Wavelength_nm</t>
  </si>
  <si>
    <t>IRL_Kilroy_Hyperspec_loading_6VPCA_Z1</t>
  </si>
  <si>
    <t>IRL_Kilroy_Hyperspec_loading_6VPCA_Z2</t>
  </si>
  <si>
    <t>IRL_Kilroy_Hyperspec_loading_6VPCA_Z3</t>
  </si>
  <si>
    <t>IRL_Kilroy_Hyperspec_loading_6VPCA_Z4</t>
  </si>
  <si>
    <t>IRL_Kilroy_Hyperspec_loading_6VPCA_Z5</t>
  </si>
  <si>
    <t>IRL_Kilroy_Hyperspec_loading_6VPCA_Z6</t>
  </si>
  <si>
    <t>IRL Sum2022 Field ASD 10nm Loading 6VPCA Z1</t>
  </si>
  <si>
    <t>IRL Sum2022 Field ASD 10nm Loading 6VPCA Z2</t>
  </si>
  <si>
    <t>IRL Sum2022 Field ASD 10nm Loading 6VPCA Z3</t>
  </si>
  <si>
    <t>IRL Sum2022 Field ASD 10nm Loading 6VPCA Z4</t>
  </si>
  <si>
    <t>IRL Sum2022 Field ASD 10nm Loading 6VPCA Z5</t>
  </si>
  <si>
    <t>IRL Sum2022 Field ASD 10nm Loading 6VPCA Z6</t>
  </si>
  <si>
    <t>Wavelength</t>
  </si>
  <si>
    <t>Chl-c Zdrdl</t>
  </si>
  <si>
    <t>Aphanizomenon flos aquae Culture Average Zdrdl (Parab, Mou &amp; Ortiz, 2014)</t>
  </si>
  <si>
    <t>Anabena Culture Average Zdrdl (Parab, Mou &amp; Ortiz, 2014)</t>
  </si>
  <si>
    <t>Average Oscillatoria planktonica Culture Average Zdrdl (Parab, Mou &amp; Ortiz, 2014)</t>
  </si>
  <si>
    <t>Microsystis Culture Average Zdrdl (Parab, Mou &amp; Ortiz, 2014)</t>
  </si>
  <si>
    <t>HAB_Cyanobacterial_Culture_Average_ZZdrdl_Parab_Mou_Ortiz_2014 Zdrdl</t>
  </si>
  <si>
    <t>Actinolite HS116.3B Zdrdl</t>
  </si>
  <si>
    <t>anhydriteASD Zdrdl</t>
  </si>
  <si>
    <t>anhydrite3ASD Zdrdl</t>
  </si>
  <si>
    <t>calcite1ASD Zdrdl</t>
  </si>
  <si>
    <t>chlorite3ASD Zdrdl</t>
  </si>
  <si>
    <t>diatomite3ASD Zdrdl</t>
  </si>
  <si>
    <t>Dolomite COD2005 W1R1BbA Zdrdl</t>
  </si>
  <si>
    <t>Dolomite HS102.3BW1R1BbA Zdrdl</t>
  </si>
  <si>
    <t>Dolomite ML97-3Ferroan W1R1FbA Zdrdl</t>
  </si>
  <si>
    <t>Epidote BR93-33a Zdrdl</t>
  </si>
  <si>
    <t>glauconite1ASD Zdrdl</t>
  </si>
  <si>
    <t>goethiteASD Zdrdl</t>
  </si>
  <si>
    <t>gypsum1ASD Zdrdl</t>
  </si>
  <si>
    <t>gypsum2ASD Zdrdl</t>
  </si>
  <si>
    <t>hematiteASD Zdrdl</t>
  </si>
  <si>
    <t>illite1ASD Zdrdl</t>
  </si>
  <si>
    <t>illite2ASD Zdrdl</t>
  </si>
  <si>
    <t>kaolinite1ASD Zdrdl</t>
  </si>
  <si>
    <t>kaolinite2ASD Zdrdl</t>
  </si>
  <si>
    <t>kaolinite3ASD Zdrdl</t>
  </si>
  <si>
    <t>MuscoviteGDS108 W1R1BbA Zdrdl</t>
  </si>
  <si>
    <t>MuscoviteGDS111-Guatemal_W1R1Ba_A Zdrdl</t>
  </si>
  <si>
    <t>NatroliteHS169.3B Zdrdl</t>
  </si>
  <si>
    <t>Ohio-fe-concretion-inside ASD Zdrdl</t>
  </si>
  <si>
    <t>Ohio-fe-concretion-outside ASD Zdrdl</t>
  </si>
  <si>
    <t>opalASD Zdrdl</t>
  </si>
  <si>
    <t>PyrolusiteHS138.3B Zdrdl</t>
  </si>
  <si>
    <t>QuartzGDS31 0-74umfr W1R1BaA Zdrdl</t>
  </si>
  <si>
    <t>QuartzGDS74 SandOttawa W1R1BcA Zdrdl</t>
  </si>
  <si>
    <t>QuartzHS117.3BAventurin W1R1BbA Zdrdl</t>
  </si>
  <si>
    <t>Sanidine GDS19 Feldspar W1R1BaA Zdrdl</t>
  </si>
  <si>
    <t>smectite1ASD Zdrdl</t>
  </si>
  <si>
    <t>smectite2ASD Zdrdl</t>
  </si>
  <si>
    <t>smectite3ASD Zdrdl</t>
  </si>
  <si>
    <t>sulfurASD Zdrdl</t>
  </si>
  <si>
    <t>Talc ASD Zdrdl</t>
  </si>
  <si>
    <t>Tremolite ASD Zdrdl</t>
  </si>
  <si>
    <t>USGS Opal hyalite Zdrdl</t>
  </si>
  <si>
    <t>Microcline HS107.3B Feldspar W1R1BdA Zdrdl</t>
  </si>
  <si>
    <t>Basalt_weathered BR93-43 splib07a 11856 BECKb Zdrdl</t>
  </si>
  <si>
    <t>S3 8-03-22 Component 1</t>
  </si>
  <si>
    <t>S3 8-03-22 Component 2</t>
  </si>
  <si>
    <t>S3 8-03-22 Component 3</t>
  </si>
  <si>
    <t>S3 8-03-22 Component 4</t>
  </si>
  <si>
    <t>S3 8-03-22 Component 5</t>
  </si>
  <si>
    <t>S3 8-03-22 Component 6</t>
  </si>
  <si>
    <t>Optical Kilroy Component 1</t>
  </si>
  <si>
    <t>Optical Kilroy Component 2</t>
  </si>
  <si>
    <t>Optical Kilroy Component 3</t>
  </si>
  <si>
    <t>Optical Kilroy Component 4</t>
  </si>
  <si>
    <t>Optical Kilroy Component 5</t>
  </si>
  <si>
    <t>Optical Kilroy Component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</si>
</sst>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Verdana"/>
      <family val="2"/>
    </font>
    <font>
      <sz val="10"/>
      <name val="Aptos Display"/>
      <family val="1"/>
      <scheme val="major"/>
    </font>
    <font>
      <sz val="10"/>
      <name val="Arial"/>
      <family val="2"/>
    </font>
    <font>
      <vertAlign val="superscript"/>
      <sz val="10"/>
      <name val="Aptos Display"/>
      <family val="1"/>
      <scheme val="major"/>
    </font>
    <font>
      <sz val="10"/>
      <name val="Arial"/>
      <family val="2"/>
    </font>
    <font>
      <i/>
      <sz val="10"/>
      <name val="Arial"/>
      <family val="2"/>
    </font>
    <font>
      <i/>
      <sz val="10"/>
      <name val="Aptos Display"/>
      <family val="1"/>
      <scheme val="major"/>
    </font>
    <font>
      <b/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Aptos Narrow"/>
      <scheme val="minor"/>
    </font>
    <font>
      <b/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3" fillId="0" borderId="0"/>
    <xf numFmtId="0" fontId="5" fillId="0" borderId="0"/>
    <xf numFmtId="0" fontId="7" fillId="0" borderId="0"/>
    <xf numFmtId="0" fontId="11" fillId="0" borderId="0"/>
    <xf numFmtId="0" fontId="11" fillId="0" borderId="0"/>
    <xf numFmtId="0" fontId="1" fillId="0" borderId="0"/>
    <xf numFmtId="0" fontId="5" fillId="0" borderId="0"/>
    <xf numFmtId="0" fontId="1" fillId="0" borderId="0"/>
  </cellStyleXfs>
  <cellXfs count="91">
    <xf numFmtId="0" fontId="0" fillId="0" borderId="0" xfId="0"/>
    <xf numFmtId="0" fontId="4" fillId="0" borderId="0" xfId="1" applyFont="1" applyAlignment="1">
      <alignment horizontal="center" wrapText="1"/>
    </xf>
    <xf numFmtId="14" fontId="4" fillId="0" borderId="0" xfId="1" applyNumberFormat="1" applyFont="1" applyAlignment="1">
      <alignment horizontal="center" wrapText="1"/>
    </xf>
    <xf numFmtId="11" fontId="4" fillId="0" borderId="0" xfId="1" applyNumberFormat="1" applyFont="1" applyAlignment="1">
      <alignment horizontal="center" wrapText="1"/>
    </xf>
    <xf numFmtId="11" fontId="4" fillId="0" borderId="0" xfId="2" applyNumberFormat="1" applyFont="1" applyAlignment="1">
      <alignment horizontal="center" wrapText="1"/>
    </xf>
    <xf numFmtId="0" fontId="4" fillId="0" borderId="0" xfId="2" applyFont="1" applyAlignment="1">
      <alignment horizontal="center" wrapText="1"/>
    </xf>
    <xf numFmtId="0" fontId="5" fillId="0" borderId="0" xfId="2" applyAlignment="1">
      <alignment wrapText="1"/>
    </xf>
    <xf numFmtId="0" fontId="4" fillId="0" borderId="0" xfId="2" applyFont="1" applyAlignment="1">
      <alignment horizontal="center"/>
    </xf>
    <xf numFmtId="14" fontId="4" fillId="0" borderId="0" xfId="2" applyNumberFormat="1" applyFont="1" applyAlignment="1">
      <alignment horizontal="center"/>
    </xf>
    <xf numFmtId="0" fontId="4" fillId="0" borderId="0" xfId="3" applyFont="1"/>
    <xf numFmtId="11" fontId="4" fillId="0" borderId="0" xfId="2" applyNumberFormat="1" applyFont="1" applyAlignment="1">
      <alignment horizontal="center"/>
    </xf>
    <xf numFmtId="0" fontId="5" fillId="0" borderId="0" xfId="2"/>
    <xf numFmtId="0" fontId="4" fillId="0" borderId="0" xfId="2" applyFont="1"/>
    <xf numFmtId="0" fontId="7" fillId="0" borderId="0" xfId="2" applyFont="1"/>
    <xf numFmtId="0" fontId="8" fillId="0" borderId="0" xfId="2" applyFont="1" applyAlignment="1">
      <alignment horizontal="center"/>
    </xf>
    <xf numFmtId="2" fontId="7" fillId="0" borderId="0" xfId="2" applyNumberFormat="1" applyFont="1"/>
    <xf numFmtId="0" fontId="5" fillId="0" borderId="0" xfId="2" applyAlignment="1">
      <alignment horizontal="left"/>
    </xf>
    <xf numFmtId="2" fontId="5" fillId="0" borderId="0" xfId="2" applyNumberFormat="1"/>
    <xf numFmtId="0" fontId="4" fillId="0" borderId="0" xfId="2" applyFont="1" applyAlignment="1">
      <alignment horizontal="left"/>
    </xf>
    <xf numFmtId="164" fontId="4" fillId="0" borderId="0" xfId="2" applyNumberFormat="1" applyFont="1" applyAlignment="1">
      <alignment horizontal="center"/>
    </xf>
    <xf numFmtId="0" fontId="9" fillId="0" borderId="0" xfId="2" applyFont="1" applyAlignment="1">
      <alignment horizontal="center"/>
    </xf>
    <xf numFmtId="11" fontId="8" fillId="0" borderId="0" xfId="2" applyNumberFormat="1" applyFont="1" applyAlignment="1">
      <alignment horizontal="center"/>
    </xf>
    <xf numFmtId="49" fontId="4" fillId="0" borderId="0" xfId="2" applyNumberFormat="1" applyFont="1" applyAlignment="1">
      <alignment horizontal="center"/>
    </xf>
    <xf numFmtId="14" fontId="5" fillId="0" borderId="0" xfId="2" applyNumberFormat="1"/>
    <xf numFmtId="0" fontId="8" fillId="0" borderId="0" xfId="2" applyFont="1"/>
    <xf numFmtId="0" fontId="10" fillId="2" borderId="1" xfId="2" applyFont="1" applyFill="1" applyBorder="1"/>
    <xf numFmtId="0" fontId="2" fillId="0" borderId="0" xfId="4" applyFont="1" applyAlignment="1">
      <alignment horizontal="center" vertical="center"/>
    </xf>
    <xf numFmtId="0" fontId="1" fillId="0" borderId="0" xfId="4" applyFont="1"/>
    <xf numFmtId="0" fontId="12" fillId="0" borderId="0" xfId="4" applyFont="1" applyAlignment="1">
      <alignment horizontal="center" vertical="center"/>
    </xf>
    <xf numFmtId="165" fontId="1" fillId="0" borderId="0" xfId="4" applyNumberFormat="1" applyFont="1"/>
    <xf numFmtId="2" fontId="1" fillId="0" borderId="0" xfId="4" applyNumberFormat="1" applyFont="1"/>
    <xf numFmtId="0" fontId="11" fillId="0" borderId="0" xfId="4"/>
    <xf numFmtId="0" fontId="13" fillId="0" borderId="2" xfId="4" applyFont="1" applyBorder="1" applyAlignment="1">
      <alignment wrapText="1"/>
    </xf>
    <xf numFmtId="0" fontId="13" fillId="0" borderId="2" xfId="4" applyFont="1" applyBorder="1" applyAlignment="1">
      <alignment horizontal="right" wrapText="1"/>
    </xf>
    <xf numFmtId="0" fontId="7" fillId="0" borderId="0" xfId="3"/>
    <xf numFmtId="165" fontId="1" fillId="0" borderId="0" xfId="3" applyNumberFormat="1" applyFont="1"/>
    <xf numFmtId="2" fontId="1" fillId="0" borderId="0" xfId="3" applyNumberFormat="1" applyFont="1"/>
    <xf numFmtId="0" fontId="7" fillId="0" borderId="0" xfId="3" applyAlignment="1">
      <alignment wrapText="1"/>
    </xf>
    <xf numFmtId="0" fontId="5" fillId="0" borderId="0" xfId="2" pivotButton="1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5" fillId="0" borderId="0" xfId="0" applyFont="1"/>
    <xf numFmtId="11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15" fillId="0" borderId="0" xfId="0" applyFont="1" applyAlignment="1">
      <alignment wrapText="1"/>
    </xf>
    <xf numFmtId="11" fontId="15" fillId="0" borderId="0" xfId="0" applyNumberFormat="1" applyFont="1" applyAlignment="1">
      <alignment wrapText="1"/>
    </xf>
    <xf numFmtId="0" fontId="15" fillId="0" borderId="0" xfId="0" applyFont="1" applyAlignment="1">
      <alignment horizontal="center" wrapText="1"/>
    </xf>
    <xf numFmtId="11" fontId="7" fillId="0" borderId="0" xfId="3" applyNumberFormat="1"/>
    <xf numFmtId="0" fontId="14" fillId="0" borderId="0" xfId="3" applyFont="1" applyAlignment="1">
      <alignment wrapText="1"/>
    </xf>
    <xf numFmtId="0" fontId="16" fillId="0" borderId="0" xfId="3" applyFont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2" fillId="0" borderId="0" xfId="3" applyFont="1" applyAlignment="1">
      <alignment vertical="center"/>
    </xf>
    <xf numFmtId="2" fontId="1" fillId="0" borderId="0" xfId="3" applyNumberFormat="1" applyFont="1" applyAlignment="1">
      <alignment horizontal="right"/>
    </xf>
    <xf numFmtId="165" fontId="1" fillId="0" borderId="0" xfId="3" applyNumberFormat="1" applyFont="1" applyAlignment="1">
      <alignment horizontal="right"/>
    </xf>
    <xf numFmtId="0" fontId="7" fillId="3" borderId="0" xfId="3" applyFill="1" applyAlignment="1">
      <alignment horizontal="center"/>
    </xf>
    <xf numFmtId="11" fontId="7" fillId="3" borderId="0" xfId="3" applyNumberFormat="1" applyFill="1" applyAlignment="1">
      <alignment horizontal="center" wrapText="1"/>
    </xf>
    <xf numFmtId="11" fontId="7" fillId="3" borderId="0" xfId="3" applyNumberFormat="1" applyFill="1"/>
    <xf numFmtId="0" fontId="7" fillId="4" borderId="0" xfId="3" applyFill="1"/>
    <xf numFmtId="0" fontId="7" fillId="4" borderId="0" xfId="3" applyFill="1" applyAlignment="1">
      <alignment horizontal="center"/>
    </xf>
    <xf numFmtId="0" fontId="1" fillId="4" borderId="0" xfId="3" applyFont="1" applyFill="1" applyAlignment="1">
      <alignment horizontal="center"/>
    </xf>
    <xf numFmtId="0" fontId="14" fillId="4" borderId="0" xfId="3" applyFont="1" applyFill="1" applyAlignment="1">
      <alignment wrapText="1"/>
    </xf>
    <xf numFmtId="11" fontId="7" fillId="4" borderId="0" xfId="3" applyNumberFormat="1" applyFill="1"/>
    <xf numFmtId="11" fontId="14" fillId="0" borderId="0" xfId="3" applyNumberFormat="1" applyFont="1" applyAlignment="1">
      <alignment wrapText="1"/>
    </xf>
    <xf numFmtId="0" fontId="7" fillId="4" borderId="0" xfId="3" applyFill="1" applyAlignment="1">
      <alignment horizontal="center" wrapText="1"/>
    </xf>
    <xf numFmtId="0" fontId="14" fillId="0" borderId="0" xfId="3" applyFont="1" applyAlignment="1">
      <alignment horizontal="center" wrapText="1"/>
    </xf>
    <xf numFmtId="0" fontId="7" fillId="0" borderId="0" xfId="3" applyAlignment="1">
      <alignment horizontal="center"/>
    </xf>
    <xf numFmtId="14" fontId="5" fillId="0" borderId="0" xfId="3" applyNumberFormat="1" applyFont="1" applyAlignment="1">
      <alignment wrapText="1"/>
    </xf>
    <xf numFmtId="11" fontId="5" fillId="0" borderId="0" xfId="3" applyNumberFormat="1" applyFont="1"/>
    <xf numFmtId="11" fontId="5" fillId="0" borderId="0" xfId="3" applyNumberFormat="1" applyFont="1" applyAlignment="1">
      <alignment horizontal="right" wrapText="1"/>
    </xf>
    <xf numFmtId="0" fontId="4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5" fillId="0" borderId="0" xfId="2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4" applyFont="1" applyAlignment="1">
      <alignment horizontal="center" vertical="center"/>
    </xf>
    <xf numFmtId="0" fontId="17" fillId="0" borderId="3" xfId="0" applyFont="1" applyBorder="1"/>
    <xf numFmtId="0" fontId="0" fillId="0" borderId="4" xfId="0" applyBorder="1"/>
    <xf numFmtId="0" fontId="0" fillId="0" borderId="5" xfId="0" applyBorder="1"/>
    <xf numFmtId="0" fontId="19" fillId="0" borderId="0" xfId="5" applyFont="1" applyAlignment="1">
      <alignment wrapText="1"/>
    </xf>
    <xf numFmtId="0" fontId="19" fillId="0" borderId="0" xfId="5" applyFont="1"/>
    <xf numFmtId="0" fontId="19" fillId="0" borderId="0" xfId="6" applyFont="1" applyAlignment="1">
      <alignment wrapText="1"/>
    </xf>
    <xf numFmtId="0" fontId="20" fillId="0" borderId="0" xfId="7" applyFont="1" applyAlignment="1">
      <alignment wrapText="1"/>
    </xf>
    <xf numFmtId="0" fontId="19" fillId="0" borderId="0" xfId="8" applyFont="1" applyAlignment="1">
      <alignment wrapText="1"/>
    </xf>
    <xf numFmtId="2" fontId="20" fillId="0" borderId="0" xfId="7" applyNumberFormat="1" applyFont="1" applyAlignment="1">
      <alignment wrapText="1"/>
    </xf>
    <xf numFmtId="0" fontId="11" fillId="0" borderId="0" xfId="5"/>
    <xf numFmtId="0" fontId="11" fillId="0" borderId="0" xfId="6" applyFont="1"/>
    <xf numFmtId="0" fontId="21" fillId="0" borderId="0" xfId="7" applyFont="1"/>
    <xf numFmtId="0" fontId="11" fillId="0" borderId="0" xfId="8" applyFont="1"/>
  </cellXfs>
  <cellStyles count="9">
    <cellStyle name="Normal" xfId="0" builtinId="0"/>
    <cellStyle name="Normal 2" xfId="2" xr:uid="{D1008918-9277-4255-A799-52E62FFE8AA8}"/>
    <cellStyle name="Normal 2 2" xfId="3" xr:uid="{19B2A5D2-0C56-4CFE-8565-01D9C336A8A0}"/>
    <cellStyle name="Normal 2 2 2" xfId="6" xr:uid="{FD6178E2-E177-4A6E-A673-885DEC96CFF0}"/>
    <cellStyle name="Normal 2 3 2 3" xfId="5" xr:uid="{655D2AC9-9599-4AC7-ADBA-E397CC9D6310}"/>
    <cellStyle name="Normal 3" xfId="4" xr:uid="{5915D167-5F5B-4AB0-AA4C-2D38CC59E264}"/>
    <cellStyle name="Normal 3 2" xfId="8" xr:uid="{E78C9472-6BF2-4D37-AFB9-5F8991B11E16}"/>
    <cellStyle name="Normal 4 2" xfId="7" xr:uid="{DD32DD46-6447-4300-8291-87991E9E9C3E}"/>
    <cellStyle name="Normal_TULSA_5_19_06" xfId="1" xr:uid="{F83037E3-C091-4C2C-A3F9-95C4E5717554}"/>
  </cellStyles>
  <dxfs count="7">
    <dxf>
      <numFmt numFmtId="166" formatCode="m/d/yy"/>
    </dxf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FinalStats!$B$1</c:f>
              <c:strCache>
                <c:ptCount val="1"/>
                <c:pt idx="0">
                  <c:v>Component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FinalStats!$B$2:$B$10</c:f>
              <c:numCache>
                <c:formatCode>General</c:formatCode>
                <c:ptCount val="9"/>
                <c:pt idx="0">
                  <c:v>-0.37941578139999999</c:v>
                </c:pt>
                <c:pt idx="1">
                  <c:v>2.473390097E-2</c:v>
                </c:pt>
                <c:pt idx="2">
                  <c:v>-0.63951110030000002</c:v>
                </c:pt>
                <c:pt idx="3">
                  <c:v>-0.70989373389999999</c:v>
                </c:pt>
                <c:pt idx="4">
                  <c:v>-0.54427643869999998</c:v>
                </c:pt>
                <c:pt idx="5">
                  <c:v>-0.19913197530000001</c:v>
                </c:pt>
                <c:pt idx="6">
                  <c:v>0.90253446500000001</c:v>
                </c:pt>
                <c:pt idx="7">
                  <c:v>0.87333103170000004</c:v>
                </c:pt>
                <c:pt idx="8">
                  <c:v>7.4736619369999997E-3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AC-4259-A809-A29E8BE59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Communality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8736144424263"/>
          <c:y val="6.8483062466608582E-2"/>
          <c:w val="0.84371335737227282"/>
          <c:h val="0.82689126378008737"/>
        </c:manualLayout>
      </c:layout>
      <c:scatterChart>
        <c:scatterStyle val="lineMarker"/>
        <c:varyColors val="0"/>
        <c:ser>
          <c:idx val="0"/>
          <c:order val="0"/>
          <c:tx>
            <c:strRef>
              <c:f>FinalStats!$H$1</c:f>
              <c:strCache>
                <c:ptCount val="1"/>
                <c:pt idx="0">
                  <c:v>dRdl Comm 1-3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FinalStats!$H$2:$H$10</c:f>
              <c:numCache>
                <c:formatCode>General</c:formatCode>
                <c:ptCount val="9"/>
                <c:pt idx="0">
                  <c:v>0.6273403139</c:v>
                </c:pt>
                <c:pt idx="1">
                  <c:v>0.72249355689999994</c:v>
                </c:pt>
                <c:pt idx="2">
                  <c:v>0.907391434</c:v>
                </c:pt>
                <c:pt idx="3">
                  <c:v>0.82581663490000001</c:v>
                </c:pt>
                <c:pt idx="4">
                  <c:v>0.93405610490000002</c:v>
                </c:pt>
                <c:pt idx="5">
                  <c:v>0.89789875119999996</c:v>
                </c:pt>
                <c:pt idx="6">
                  <c:v>0.9027265082</c:v>
                </c:pt>
                <c:pt idx="7">
                  <c:v>0.87906762689999995</c:v>
                </c:pt>
                <c:pt idx="8">
                  <c:v>0.60127537539999998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B9-47D0-8F9C-51E8B330CDF8}"/>
            </c:ext>
          </c:extLst>
        </c:ser>
        <c:ser>
          <c:idx val="1"/>
          <c:order val="1"/>
          <c:tx>
            <c:strRef>
              <c:f>FinalStats!$I$1</c:f>
              <c:strCache>
                <c:ptCount val="1"/>
                <c:pt idx="0">
                  <c:v>dRdl Comm 4-6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FinalStats!$I$2:$I$10</c:f>
              <c:numCache>
                <c:formatCode>General</c:formatCode>
                <c:ptCount val="9"/>
                <c:pt idx="0">
                  <c:v>0.35732171369999999</c:v>
                </c:pt>
                <c:pt idx="1">
                  <c:v>0.26605744799999997</c:v>
                </c:pt>
                <c:pt idx="2">
                  <c:v>4.241164956E-2</c:v>
                </c:pt>
                <c:pt idx="3">
                  <c:v>0.13907259290000001</c:v>
                </c:pt>
                <c:pt idx="4">
                  <c:v>2.1951567679999999E-2</c:v>
                </c:pt>
                <c:pt idx="5">
                  <c:v>7.1647975210000006E-2</c:v>
                </c:pt>
                <c:pt idx="6">
                  <c:v>4.7846868020000002E-2</c:v>
                </c:pt>
                <c:pt idx="7">
                  <c:v>6.2910300160000002E-2</c:v>
                </c:pt>
                <c:pt idx="8">
                  <c:v>0.38665958299999997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B9-47D0-8F9C-51E8B330CDF8}"/>
            </c:ext>
          </c:extLst>
        </c:ser>
        <c:ser>
          <c:idx val="2"/>
          <c:order val="2"/>
          <c:tx>
            <c:strRef>
              <c:f>FinalStats!$J$1</c:f>
              <c:strCache>
                <c:ptCount val="1"/>
                <c:pt idx="0">
                  <c:v>dRdl Comm Total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FinalStats!$J$2:$J$10</c:f>
              <c:numCache>
                <c:formatCode>General</c:formatCode>
                <c:ptCount val="9"/>
                <c:pt idx="0">
                  <c:v>0.98466202759999999</c:v>
                </c:pt>
                <c:pt idx="1">
                  <c:v>0.98855100490000003</c:v>
                </c:pt>
                <c:pt idx="2">
                  <c:v>0.94980308359999999</c:v>
                </c:pt>
                <c:pt idx="3">
                  <c:v>0.96488922779999997</c:v>
                </c:pt>
                <c:pt idx="4">
                  <c:v>0.95600767259999997</c:v>
                </c:pt>
                <c:pt idx="5">
                  <c:v>0.96954672639999995</c:v>
                </c:pt>
                <c:pt idx="6">
                  <c:v>0.95057337620000004</c:v>
                </c:pt>
                <c:pt idx="7">
                  <c:v>0.94197792700000005</c:v>
                </c:pt>
                <c:pt idx="8">
                  <c:v>0.98793495840000001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B9-47D0-8F9C-51E8B330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</a:t>
                </a:r>
                <a:r>
                  <a:rPr lang="en-US" baseline="0"/>
                  <a:t> (nm)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  <c:max val="1.0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Communality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2843499838264336"/>
          <c:y val="0.43964059858493515"/>
          <c:w val="0.21618396968308998"/>
          <c:h val="0.1142811708370955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FinalStats!$C$1</c:f>
              <c:strCache>
                <c:ptCount val="1"/>
                <c:pt idx="0">
                  <c:v>Component 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FinalStats!$C$2:$C$10</c:f>
              <c:numCache>
                <c:formatCode>General</c:formatCode>
                <c:ptCount val="9"/>
                <c:pt idx="0">
                  <c:v>0.5747918621</c:v>
                </c:pt>
                <c:pt idx="1">
                  <c:v>0.84943710059999999</c:v>
                </c:pt>
                <c:pt idx="2">
                  <c:v>0.59947570409999995</c:v>
                </c:pt>
                <c:pt idx="3">
                  <c:v>0.56412464760000003</c:v>
                </c:pt>
                <c:pt idx="4">
                  <c:v>0.14796275649999999</c:v>
                </c:pt>
                <c:pt idx="5">
                  <c:v>5.5267539460000001E-2</c:v>
                </c:pt>
                <c:pt idx="6">
                  <c:v>4.0141828690000003E-3</c:v>
                </c:pt>
                <c:pt idx="7">
                  <c:v>9.6930826230000003E-2</c:v>
                </c:pt>
                <c:pt idx="8">
                  <c:v>0.68457047609999999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00-43FD-BB9D-32BD5AEAC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FinalStats!$D$1</c:f>
              <c:strCache>
                <c:ptCount val="1"/>
                <c:pt idx="0">
                  <c:v>Component 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FinalStats!$D$2:$D$10</c:f>
              <c:numCache>
                <c:formatCode>General</c:formatCode>
                <c:ptCount val="9"/>
                <c:pt idx="0">
                  <c:v>-0.39114996359999998</c:v>
                </c:pt>
                <c:pt idx="1">
                  <c:v>1.839573483E-2</c:v>
                </c:pt>
                <c:pt idx="2">
                  <c:v>-0.3728885448</c:v>
                </c:pt>
                <c:pt idx="3">
                  <c:v>6.0256978179999997E-2</c:v>
                </c:pt>
                <c:pt idx="4">
                  <c:v>0.78480971310000003</c:v>
                </c:pt>
                <c:pt idx="5">
                  <c:v>0.92476521710000004</c:v>
                </c:pt>
                <c:pt idx="6">
                  <c:v>0.296887073</c:v>
                </c:pt>
                <c:pt idx="7">
                  <c:v>-0.32705496610000001</c:v>
                </c:pt>
                <c:pt idx="8">
                  <c:v>0.36411918799999998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3-4282-AC29-2A7BF1547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FinalStats!$E$1</c:f>
              <c:strCache>
                <c:ptCount val="1"/>
                <c:pt idx="0">
                  <c:v>Component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FinalStats!$E$2:$E$10</c:f>
              <c:numCache>
                <c:formatCode>General</c:formatCode>
                <c:ptCount val="9"/>
                <c:pt idx="0">
                  <c:v>0.33498616590000002</c:v>
                </c:pt>
                <c:pt idx="1">
                  <c:v>0.23444355159999999</c:v>
                </c:pt>
                <c:pt idx="2">
                  <c:v>4.7457965749999999E-3</c:v>
                </c:pt>
                <c:pt idx="3">
                  <c:v>-6.923464E-2</c:v>
                </c:pt>
                <c:pt idx="4">
                  <c:v>0.12681039720000001</c:v>
                </c:pt>
                <c:pt idx="5">
                  <c:v>0.24807011379999999</c:v>
                </c:pt>
                <c:pt idx="6">
                  <c:v>0.13977586980000001</c:v>
                </c:pt>
                <c:pt idx="7">
                  <c:v>8.2191813929999996E-2</c:v>
                </c:pt>
                <c:pt idx="8">
                  <c:v>-0.57916877320000004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96-4315-AB2D-C62605B4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FinalStats!$F$1</c:f>
              <c:strCache>
                <c:ptCount val="1"/>
                <c:pt idx="0">
                  <c:v>Component 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FinalStats!$F$2:$F$10</c:f>
              <c:numCache>
                <c:formatCode>General</c:formatCode>
                <c:ptCount val="9"/>
                <c:pt idx="0">
                  <c:v>-0.38109025029999999</c:v>
                </c:pt>
                <c:pt idx="1">
                  <c:v>-0.13118672619999999</c:v>
                </c:pt>
                <c:pt idx="2">
                  <c:v>0.203406793</c:v>
                </c:pt>
                <c:pt idx="3">
                  <c:v>0.36488559790000002</c:v>
                </c:pt>
                <c:pt idx="4">
                  <c:v>6.7530956259999997E-2</c:v>
                </c:pt>
                <c:pt idx="5">
                  <c:v>-8.2238309159999995E-2</c:v>
                </c:pt>
                <c:pt idx="6">
                  <c:v>7.0101485510000006E-2</c:v>
                </c:pt>
                <c:pt idx="7">
                  <c:v>0.2349118828</c:v>
                </c:pt>
                <c:pt idx="8">
                  <c:v>-3.7679836129999998E-2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1F-4BEF-AA3F-D99CD99DD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Component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FinalStats!$G$1</c:f>
              <c:strCache>
                <c:ptCount val="1"/>
                <c:pt idx="0">
                  <c:v>Component 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FinalStats!$A$2:$A$10</c:f>
              <c:numCache>
                <c:formatCode>General</c:formatCode>
                <c:ptCount val="9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  <c:pt idx="5">
                  <c:v>740.2</c:v>
                </c:pt>
                <c:pt idx="6">
                  <c:v>782.5</c:v>
                </c:pt>
                <c:pt idx="7">
                  <c:v>835.1</c:v>
                </c:pt>
                <c:pt idx="8">
                  <c:v>864.8</c:v>
                </c:pt>
              </c:numCache>
            </c:numRef>
          </c:xVal>
          <c:yVal>
            <c:numRef>
              <c:f>FinalStats!$G$2:$G$10</c:f>
              <c:numCache>
                <c:formatCode>General</c:formatCode>
                <c:ptCount val="9"/>
                <c:pt idx="0">
                  <c:v>0.31603196589999999</c:v>
                </c:pt>
                <c:pt idx="1">
                  <c:v>-0.4403222819</c:v>
                </c:pt>
                <c:pt idx="2">
                  <c:v>3.1855981390000003E-2</c:v>
                </c:pt>
                <c:pt idx="3">
                  <c:v>3.372918548E-2</c:v>
                </c:pt>
                <c:pt idx="4">
                  <c:v>-3.6197524809999999E-2</c:v>
                </c:pt>
                <c:pt idx="5">
                  <c:v>5.7845089349999997E-2</c:v>
                </c:pt>
                <c:pt idx="6">
                  <c:v>0.15295540520000001</c:v>
                </c:pt>
                <c:pt idx="7">
                  <c:v>3.1164293280000002E-2</c:v>
                </c:pt>
                <c:pt idx="8">
                  <c:v>0.2231666309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3-4D38-B48A-C50223C36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3264"/>
        <c:axId val="1447014224"/>
      </c:scatterChart>
      <c:valAx>
        <c:axId val="1447013264"/>
        <c:scaling>
          <c:orientation val="minMax"/>
          <c:max val="870"/>
          <c:min val="44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224"/>
        <c:crosses val="autoZero"/>
        <c:crossBetween val="midCat"/>
      </c:valAx>
      <c:valAx>
        <c:axId val="14470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</a:t>
                </a:r>
                <a:r>
                  <a:rPr lang="en-US" baseline="0"/>
                  <a:t> Loading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3264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Eigenvalues Labeled with Fractional Variance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FinalStats!$B$1:$G$1</c:f>
              <c:strCache>
                <c:ptCount val="6"/>
                <c:pt idx="0">
                  <c:v>Component 1</c:v>
                </c:pt>
                <c:pt idx="1">
                  <c:v>Component 2</c:v>
                </c:pt>
                <c:pt idx="2">
                  <c:v>Component 3</c:v>
                </c:pt>
                <c:pt idx="3">
                  <c:v>Component 4</c:v>
                </c:pt>
                <c:pt idx="4">
                  <c:v>Component 5</c:v>
                </c:pt>
                <c:pt idx="5">
                  <c:v>Component 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0AD65FE-3E75-4C69-AFC2-EDDA702D3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A2F-486A-93CD-D9A62AF7F9A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141B9E3-74DB-4CFD-9A12-216A1E75DA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A2F-486A-93CD-D9A62AF7F9A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2F343F-D40C-4241-B37B-645346537B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A2F-486A-93CD-D9A62AF7F9A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E4D8B1-0CB1-4CE9-9126-228BDC99AD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2F-486A-93CD-D9A62AF7F9A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5F2E6B7-1816-461C-BDDD-16991C69A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2F-486A-93CD-D9A62AF7F9A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91A7D3C-B182-46B3-9795-03552C6F9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2F-486A-93CD-D9A62AF7F9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FinalStats!$B$11:$G$11</c:f>
              <c:numCache>
                <c:formatCode>General</c:formatCode>
                <c:ptCount val="6"/>
                <c:pt idx="0">
                  <c:v>3.6799943439999998</c:v>
                </c:pt>
                <c:pt idx="1">
                  <c:v>2.114154986</c:v>
                </c:pt>
                <c:pt idx="2">
                  <c:v>1.503916976</c:v>
                </c:pt>
                <c:pt idx="3">
                  <c:v>0.69987542960000004</c:v>
                </c:pt>
                <c:pt idx="4">
                  <c:v>0.42814619500000001</c:v>
                </c:pt>
                <c:pt idx="5">
                  <c:v>0.26785807360000002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FinalStats!$B$13:$G$13</c15:f>
                <c15:dlblRangeCache>
                  <c:ptCount val="6"/>
                  <c:pt idx="0">
                    <c:v>0.33</c:v>
                  </c:pt>
                  <c:pt idx="1">
                    <c:v>0.25</c:v>
                  </c:pt>
                  <c:pt idx="2">
                    <c:v>0.23</c:v>
                  </c:pt>
                  <c:pt idx="3">
                    <c:v>0.07</c:v>
                  </c:pt>
                  <c:pt idx="4">
                    <c:v>0.05</c:v>
                  </c:pt>
                  <c:pt idx="5">
                    <c:v>0.04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A2F-486A-93CD-D9A62AF7F9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1"/>
        <c:axId val="9265247"/>
        <c:axId val="14611023"/>
      </c:barChart>
      <c:catAx>
        <c:axId val="9265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 Rank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1023"/>
        <c:crosses val="autoZero"/>
        <c:auto val="1"/>
        <c:lblAlgn val="ctr"/>
        <c:lblOffset val="100"/>
        <c:noMultiLvlLbl val="0"/>
      </c:catAx>
      <c:valAx>
        <c:axId val="146110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Eigenvalues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524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Identification'!$B$12</c:f>
              <c:strCache>
                <c:ptCount val="1"/>
                <c:pt idx="0">
                  <c:v>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Identification'!$B$13:$B$17</c:f>
              <c:numCache>
                <c:formatCode>General</c:formatCode>
                <c:ptCount val="5"/>
                <c:pt idx="0">
                  <c:v>0.24002744218069055</c:v>
                </c:pt>
                <c:pt idx="1">
                  <c:v>1.6207755903097154</c:v>
                </c:pt>
                <c:pt idx="2">
                  <c:v>-0.64856939600616315</c:v>
                </c:pt>
                <c:pt idx="3">
                  <c:v>-0.88902657126301388</c:v>
                </c:pt>
                <c:pt idx="4">
                  <c:v>-0.323207065221228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C-4631-BE15-55532D5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Identification'!$Z$12</c:f>
              <c:strCache>
                <c:ptCount val="1"/>
                <c:pt idx="0">
                  <c:v>Phycocyanin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Identification'!$Z$13:$Z$17</c:f>
              <c:numCache>
                <c:formatCode>General</c:formatCode>
                <c:ptCount val="5"/>
                <c:pt idx="0">
                  <c:v>-0.65991749162779301</c:v>
                </c:pt>
                <c:pt idx="1">
                  <c:v>-1.3104310496977114</c:v>
                </c:pt>
                <c:pt idx="2">
                  <c:v>0.27515826566743218</c:v>
                </c:pt>
                <c:pt idx="3">
                  <c:v>1.2566991965499699</c:v>
                </c:pt>
                <c:pt idx="4">
                  <c:v>0.43849107910810187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FC-4631-BE15-55532D5B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axMin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1988495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Identification'!$C$12</c:f>
              <c:strCache>
                <c:ptCount val="1"/>
                <c:pt idx="0">
                  <c:v>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Identification'!$C$13:$C$17</c:f>
              <c:numCache>
                <c:formatCode>General</c:formatCode>
                <c:ptCount val="5"/>
                <c:pt idx="0">
                  <c:v>0.10954831572217996</c:v>
                </c:pt>
                <c:pt idx="1">
                  <c:v>1.1983347525756023</c:v>
                </c:pt>
                <c:pt idx="2">
                  <c:v>0.20740339788495632</c:v>
                </c:pt>
                <c:pt idx="3">
                  <c:v>6.7259876534088492E-2</c:v>
                </c:pt>
                <c:pt idx="4">
                  <c:v>-1.5825463427168271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F-4996-A9F0-061DEFD87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Identification'!$AA$12</c:f>
              <c:strCache>
                <c:ptCount val="1"/>
                <c:pt idx="0">
                  <c:v>Kaolinite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Identification'!$AA$13:$AA$17</c:f>
              <c:numCache>
                <c:formatCode>General</c:formatCode>
                <c:ptCount val="5"/>
                <c:pt idx="0">
                  <c:v>0.5733989064773074</c:v>
                </c:pt>
                <c:pt idx="1">
                  <c:v>0.88120070775249448</c:v>
                </c:pt>
                <c:pt idx="2">
                  <c:v>0.4833604662216347</c:v>
                </c:pt>
                <c:pt idx="3">
                  <c:v>-0.34319372298577333</c:v>
                </c:pt>
                <c:pt idx="4">
                  <c:v>-1.5947663574656636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AF-4996-A9F0-061DEFD87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inMax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964366473891078"/>
          <c:y val="0.39411924019566863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Identification'!$D$12</c:f>
              <c:strCache>
                <c:ptCount val="1"/>
                <c:pt idx="0">
                  <c:v>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Identification'!$D$13:$D$17</c:f>
              <c:numCache>
                <c:formatCode>General</c:formatCode>
                <c:ptCount val="5"/>
                <c:pt idx="0">
                  <c:v>-0.8617806333139808</c:v>
                </c:pt>
                <c:pt idx="1">
                  <c:v>-3.1219583039762224E-3</c:v>
                </c:pt>
                <c:pt idx="2">
                  <c:v>-0.82349351241215829</c:v>
                </c:pt>
                <c:pt idx="3">
                  <c:v>8.4644852303426707E-2</c:v>
                </c:pt>
                <c:pt idx="4">
                  <c:v>1.6037512517266888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C6-443D-9918-A39D4923DEEF}"/>
            </c:ext>
          </c:extLst>
        </c:ser>
        <c:ser>
          <c:idx val="1"/>
          <c:order val="1"/>
          <c:tx>
            <c:strRef>
              <c:f>'Component Identification'!$AB$12</c:f>
              <c:strCache>
                <c:ptCount val="1"/>
                <c:pt idx="0">
                  <c:v>Thalassia-brown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Identification'!$AB$13:$AB$17</c:f>
              <c:numCache>
                <c:formatCode>General</c:formatCode>
                <c:ptCount val="5"/>
                <c:pt idx="0">
                  <c:v>-0.70482144454538798</c:v>
                </c:pt>
                <c:pt idx="1">
                  <c:v>-0.45546992332360042</c:v>
                </c:pt>
                <c:pt idx="2">
                  <c:v>-0.53463128440086816</c:v>
                </c:pt>
                <c:pt idx="3">
                  <c:v>-3.9545401970242214E-2</c:v>
                </c:pt>
                <c:pt idx="4">
                  <c:v>1.7344680542400992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6-443D-9918-A39D4923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964366473891078"/>
          <c:y val="8.4738808304980179E-2"/>
          <c:w val="0.31494861696233178"/>
          <c:h val="0.3430739083986037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Identification'!$E$12</c:f>
              <c:strCache>
                <c:ptCount val="1"/>
                <c:pt idx="0">
                  <c:v>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Identification'!$E$13:$E$17</c:f>
              <c:numCache>
                <c:formatCode>General</c:formatCode>
                <c:ptCount val="5"/>
                <c:pt idx="0">
                  <c:v>1.268224848877237</c:v>
                </c:pt>
                <c:pt idx="1">
                  <c:v>0.65706140716206929</c:v>
                </c:pt>
                <c:pt idx="2">
                  <c:v>-0.73919103258900676</c:v>
                </c:pt>
                <c:pt idx="3">
                  <c:v>-1.1888922717258497</c:v>
                </c:pt>
                <c:pt idx="4">
                  <c:v>2.7970482755506083E-3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2C-4943-AC78-5C13E35D72D4}"/>
            </c:ext>
          </c:extLst>
        </c:ser>
        <c:ser>
          <c:idx val="1"/>
          <c:order val="1"/>
          <c:tx>
            <c:strRef>
              <c:f>'Component Identification'!$AC$12</c:f>
              <c:strCache>
                <c:ptCount val="1"/>
                <c:pt idx="0">
                  <c:v>Sphalerite 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Identification'!$AC$13:$AC$17</c:f>
              <c:numCache>
                <c:formatCode>General</c:formatCode>
                <c:ptCount val="5"/>
                <c:pt idx="0">
                  <c:v>1.263570187738785</c:v>
                </c:pt>
                <c:pt idx="1">
                  <c:v>0.71063038075117868</c:v>
                </c:pt>
                <c:pt idx="2">
                  <c:v>-0.71363739890567057</c:v>
                </c:pt>
                <c:pt idx="3">
                  <c:v>-1.1755369163745879</c:v>
                </c:pt>
                <c:pt idx="4">
                  <c:v>-8.5026253209705319E-2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2C-4943-AC78-5C13E35D72D4}"/>
            </c:ext>
          </c:extLst>
        </c:ser>
        <c:ser>
          <c:idx val="2"/>
          <c:order val="2"/>
          <c:tx>
            <c:strRef>
              <c:f>'Component Identification'!$AE$12</c:f>
              <c:strCache>
                <c:ptCount val="1"/>
                <c:pt idx="0">
                  <c:v>Dinophyta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sysDot"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Identification'!$AE$13:$AE$17</c:f>
              <c:numCache>
                <c:formatCode>General</c:formatCode>
                <c:ptCount val="5"/>
                <c:pt idx="0">
                  <c:v>1.3532564378397611</c:v>
                </c:pt>
                <c:pt idx="1">
                  <c:v>0.61931077668549384</c:v>
                </c:pt>
                <c:pt idx="2">
                  <c:v>-0.85216414149565711</c:v>
                </c:pt>
                <c:pt idx="3">
                  <c:v>-1.024591420259233</c:v>
                </c:pt>
                <c:pt idx="4">
                  <c:v>-9.5811652770365449E-2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2C-4943-AC78-5C13E35D7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35999574504797"/>
          <c:y val="7.2606242348482647E-2"/>
          <c:w val="0.27633304523192165"/>
          <c:h val="0.3731408872726995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Identification'!$F$12</c:f>
              <c:strCache>
                <c:ptCount val="1"/>
                <c:pt idx="0">
                  <c:v>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Identification'!$F$13:$F$17</c:f>
              <c:numCache>
                <c:formatCode>General</c:formatCode>
                <c:ptCount val="5"/>
                <c:pt idx="0">
                  <c:v>-1.3950371419796066</c:v>
                </c:pt>
                <c:pt idx="1">
                  <c:v>-0.53593140862748456</c:v>
                </c:pt>
                <c:pt idx="2">
                  <c:v>0.61431731924623068</c:v>
                </c:pt>
                <c:pt idx="3">
                  <c:v>1.1694410118954244</c:v>
                </c:pt>
                <c:pt idx="4">
                  <c:v>0.14721021946543605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2-42EB-8E9B-53490EF4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1"/>
          <c:order val="1"/>
          <c:tx>
            <c:strRef>
              <c:f>'Component Identification'!$AD$12</c:f>
              <c:strCache>
                <c:ptCount val="1"/>
                <c:pt idx="0">
                  <c:v>Chlorite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Identification'!$AD$13:$AD$17</c:f>
              <c:numCache>
                <c:formatCode>General</c:formatCode>
                <c:ptCount val="5"/>
                <c:pt idx="0">
                  <c:v>1.3163828658246972</c:v>
                </c:pt>
                <c:pt idx="1">
                  <c:v>0.67097548764407777</c:v>
                </c:pt>
                <c:pt idx="2">
                  <c:v>-0.74848239184451515</c:v>
                </c:pt>
                <c:pt idx="3">
                  <c:v>-1.1140566877457869</c:v>
                </c:pt>
                <c:pt idx="4">
                  <c:v>-0.12481927387847276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2-42EB-8E9B-53490EF4C692}"/>
            </c:ext>
          </c:extLst>
        </c:ser>
        <c:ser>
          <c:idx val="2"/>
          <c:order val="2"/>
          <c:tx>
            <c:strRef>
              <c:f>'Component Identification'!$AE$12</c:f>
              <c:strCache>
                <c:ptCount val="1"/>
                <c:pt idx="0">
                  <c:v>Dinophyta</c:v>
                </c:pt>
              </c:strCache>
            </c:strRef>
          </c:tx>
          <c:spPr>
            <a:ln w="19050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tx2"/>
              </a:solidFill>
              <a:ln w="9525">
                <a:solidFill>
                  <a:schemeClr val="tx2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Identification'!$AE$13:$AE$17</c:f>
              <c:numCache>
                <c:formatCode>General</c:formatCode>
                <c:ptCount val="5"/>
                <c:pt idx="0">
                  <c:v>1.3532564378397611</c:v>
                </c:pt>
                <c:pt idx="1">
                  <c:v>0.61931077668549384</c:v>
                </c:pt>
                <c:pt idx="2">
                  <c:v>-0.85216414149565711</c:v>
                </c:pt>
                <c:pt idx="3">
                  <c:v>-1.024591420259233</c:v>
                </c:pt>
                <c:pt idx="4">
                  <c:v>-9.5811652770365449E-2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2-42EB-8E9B-53490EF4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980815"/>
        <c:axId val="2121988495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  <c:min val="-1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2121988495"/>
        <c:scaling>
          <c:orientation val="maxMin"/>
        </c:scaling>
        <c:delete val="1"/>
        <c:axPos val="r"/>
        <c:numFmt formatCode="General" sourceLinked="1"/>
        <c:majorTickMark val="in"/>
        <c:minorTickMark val="none"/>
        <c:tickLblPos val="nextTo"/>
        <c:crossAx val="2121980815"/>
        <c:crosses val="max"/>
        <c:crossBetween val="midCat"/>
      </c:valAx>
      <c:valAx>
        <c:axId val="212198081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12198849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035818481609073"/>
          <c:y val="0.33345641041318075"/>
          <c:w val="0.27628667544023938"/>
          <c:h val="0.3731408872726995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1"/>
          <c:order val="1"/>
          <c:tx>
            <c:strRef>
              <c:f>'Component Identification'!$AF$12</c:f>
              <c:strCache>
                <c:ptCount val="1"/>
                <c:pt idx="0">
                  <c:v>Goethite_Phyllite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Identification'!$AF$13:$AF$17</c:f>
              <c:numCache>
                <c:formatCode>General</c:formatCode>
                <c:ptCount val="5"/>
                <c:pt idx="0">
                  <c:v>-1.0876855389819966</c:v>
                </c:pt>
                <c:pt idx="1">
                  <c:v>1.2957804001125035</c:v>
                </c:pt>
                <c:pt idx="2">
                  <c:v>0.68731352759923714</c:v>
                </c:pt>
                <c:pt idx="3">
                  <c:v>-0.81144541174958018</c:v>
                </c:pt>
                <c:pt idx="4">
                  <c:v>-8.3962976980163667E-2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F6-4A7F-AAEE-36E1A245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scatterChart>
        <c:scatterStyle val="lineMarker"/>
        <c:varyColors val="0"/>
        <c:ser>
          <c:idx val="0"/>
          <c:order val="0"/>
          <c:tx>
            <c:strRef>
              <c:f>'Component Identification'!$G$12</c:f>
              <c:strCache>
                <c:ptCount val="1"/>
                <c:pt idx="0">
                  <c:v>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Identification'!$G$13:$G$17</c:f>
              <c:numCache>
                <c:formatCode>General</c:formatCode>
                <c:ptCount val="5"/>
                <c:pt idx="0">
                  <c:v>1.2327360047961566</c:v>
                </c:pt>
                <c:pt idx="1">
                  <c:v>-1.550399286360971</c:v>
                </c:pt>
                <c:pt idx="2">
                  <c:v>0.1870616879141061</c:v>
                </c:pt>
                <c:pt idx="3">
                  <c:v>0.19395446391897811</c:v>
                </c:pt>
                <c:pt idx="4">
                  <c:v>-6.3352870268269995E-2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F6-4A7F-AAEE-36E1A2458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50911"/>
        <c:axId val="48449471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  <c:max val="2"/>
          <c:min val="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valAx>
        <c:axId val="48449471"/>
        <c:scaling>
          <c:orientation val="maxMin"/>
          <c:max val="2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8450911"/>
        <c:crosses val="max"/>
        <c:crossBetween val="midCat"/>
      </c:valAx>
      <c:valAx>
        <c:axId val="484509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449471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646809894200856"/>
          <c:y val="7.8672525326731441E-2"/>
          <c:w val="0.31494861696233178"/>
          <c:h val="0.2520798513903967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Identification'!$H$12</c:f>
              <c:strCache>
                <c:ptCount val="1"/>
                <c:pt idx="0">
                  <c:v>Field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Identification'!$H$13:$H$17</c:f>
              <c:numCache>
                <c:formatCode>General</c:formatCode>
                <c:ptCount val="5"/>
                <c:pt idx="0">
                  <c:v>0.61849738205451488</c:v>
                </c:pt>
                <c:pt idx="1">
                  <c:v>1.1910086813115635</c:v>
                </c:pt>
                <c:pt idx="2">
                  <c:v>-0.92774607308177237</c:v>
                </c:pt>
                <c:pt idx="3">
                  <c:v>-1.129899658533722</c:v>
                </c:pt>
                <c:pt idx="4">
                  <c:v>0.24813966824941608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7-4479-8E6A-BD574171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2563190602886849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Identification'!$I$12</c:f>
              <c:strCache>
                <c:ptCount val="1"/>
                <c:pt idx="0">
                  <c:v>Field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Identification'!$I$13:$I$17</c:f>
              <c:numCache>
                <c:formatCode>General</c:formatCode>
                <c:ptCount val="5"/>
                <c:pt idx="0">
                  <c:v>-1.5215029025980067</c:v>
                </c:pt>
                <c:pt idx="1">
                  <c:v>1.2232016763493285</c:v>
                </c:pt>
                <c:pt idx="2">
                  <c:v>0.41662182436966227</c:v>
                </c:pt>
                <c:pt idx="3">
                  <c:v>4.9994618924359751E-3</c:v>
                </c:pt>
                <c:pt idx="4">
                  <c:v>-0.12332006001342001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2A-4F7C-ADAD-4655B3DB9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Identification'!$J$12</c:f>
              <c:strCache>
                <c:ptCount val="1"/>
                <c:pt idx="0">
                  <c:v>Field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Identification'!$J$13:$J$17</c:f>
              <c:numCache>
                <c:formatCode>General</c:formatCode>
                <c:ptCount val="5"/>
                <c:pt idx="0">
                  <c:v>0.17069438462758935</c:v>
                </c:pt>
                <c:pt idx="1">
                  <c:v>0.12979885497722937</c:v>
                </c:pt>
                <c:pt idx="2">
                  <c:v>-1.2144194239650363</c:v>
                </c:pt>
                <c:pt idx="3">
                  <c:v>-0.55831288305273985</c:v>
                </c:pt>
                <c:pt idx="4">
                  <c:v>1.4722390674129577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7-468B-A18F-A3437891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294647911164848"/>
          <c:y val="7.8672525326731441E-2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Identification'!$K$12</c:f>
              <c:strCache>
                <c:ptCount val="1"/>
                <c:pt idx="0">
                  <c:v>Field Component 4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Identification'!$K$13:$K$17</c:f>
              <c:numCache>
                <c:formatCode>General</c:formatCode>
                <c:ptCount val="5"/>
                <c:pt idx="0">
                  <c:v>-0.73931878175240229</c:v>
                </c:pt>
                <c:pt idx="1">
                  <c:v>-1.2352541539538446</c:v>
                </c:pt>
                <c:pt idx="2">
                  <c:v>0.54844617631688919</c:v>
                </c:pt>
                <c:pt idx="3">
                  <c:v>1.2652603277341001</c:v>
                </c:pt>
                <c:pt idx="4">
                  <c:v>0.1608664316552578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A-4B1C-B8E9-C6D682C3E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7432389231549832"/>
          <c:y val="0.59430657847787871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Identification'!$L$12</c:f>
              <c:strCache>
                <c:ptCount val="1"/>
                <c:pt idx="0">
                  <c:v>Field Component 5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Identification'!$L$13:$L$17</c:f>
              <c:numCache>
                <c:formatCode>General</c:formatCode>
                <c:ptCount val="5"/>
                <c:pt idx="0">
                  <c:v>-0.6787828634229145</c:v>
                </c:pt>
                <c:pt idx="1">
                  <c:v>-0.86294875659967429</c:v>
                </c:pt>
                <c:pt idx="2">
                  <c:v>0.18942777583895284</c:v>
                </c:pt>
                <c:pt idx="3">
                  <c:v>1.636445507942065</c:v>
                </c:pt>
                <c:pt idx="4">
                  <c:v>-0.28414166375842931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9F-498B-93E6-48AD13171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58873060983868"/>
          <c:y val="0.10900394021797535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Identification'!$M$12</c:f>
              <c:strCache>
                <c:ptCount val="1"/>
                <c:pt idx="0">
                  <c:v>Field Component 6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Identification'!$M$13:$M$17</c:f>
              <c:numCache>
                <c:formatCode>General</c:formatCode>
                <c:ptCount val="5"/>
                <c:pt idx="0">
                  <c:v>0.2986448729187462</c:v>
                </c:pt>
                <c:pt idx="1">
                  <c:v>1.5946509252076448</c:v>
                </c:pt>
                <c:pt idx="2">
                  <c:v>-0.49022837630058341</c:v>
                </c:pt>
                <c:pt idx="3">
                  <c:v>-0.96918713475517648</c:v>
                </c:pt>
                <c:pt idx="4">
                  <c:v>-0.43388028707063131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27-4523-B2B2-A2748079A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634220369185569"/>
          <c:y val="0.1090039402179754"/>
          <c:w val="0.3255475207953365"/>
          <c:h val="0.1243802957575665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Identification'!$N$12</c:f>
              <c:strCache>
                <c:ptCount val="1"/>
                <c:pt idx="0">
                  <c:v>Sentinel-2 8-3-22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Identification'!$N$13:$N$17</c:f>
              <c:numCache>
                <c:formatCode>General</c:formatCode>
                <c:ptCount val="5"/>
                <c:pt idx="0">
                  <c:v>-0.47682871987540487</c:v>
                </c:pt>
                <c:pt idx="1">
                  <c:v>-0.16290293383053625</c:v>
                </c:pt>
                <c:pt idx="2">
                  <c:v>-0.76192961858982655</c:v>
                </c:pt>
                <c:pt idx="3">
                  <c:v>-0.34397391524918358</c:v>
                </c:pt>
                <c:pt idx="4">
                  <c:v>1.7456351875449507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20-4FA5-8BE8-83A1495B7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9230422761345833"/>
          <c:y val="0.12113650617447298"/>
          <c:w val="0.35481371241535953"/>
          <c:h val="0.2214408234095472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Identification'!$O$12</c:f>
              <c:strCache>
                <c:ptCount val="1"/>
                <c:pt idx="0">
                  <c:v>Sentinel-2 8-3-22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Identification'!$O$13:$O$17</c:f>
              <c:numCache>
                <c:formatCode>General</c:formatCode>
                <c:ptCount val="5"/>
                <c:pt idx="0">
                  <c:v>1.2004582956826551</c:v>
                </c:pt>
                <c:pt idx="1">
                  <c:v>-0.37779990285164916</c:v>
                </c:pt>
                <c:pt idx="2">
                  <c:v>0.69565135095458175</c:v>
                </c:pt>
                <c:pt idx="3">
                  <c:v>-0.13481358997643822</c:v>
                </c:pt>
                <c:pt idx="4">
                  <c:v>-1.3834961538091493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A-45D6-960D-D07501449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0028591623710096"/>
          <c:y val="0.46084835295640542"/>
          <c:w val="0.3255475207953365"/>
          <c:h val="0.27603737021378633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Identification'!$P$12</c:f>
              <c:strCache>
                <c:ptCount val="1"/>
                <c:pt idx="0">
                  <c:v>Sentinel-2 8-3-22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Identification'!$P$13:$P$17</c:f>
              <c:numCache>
                <c:formatCode>General</c:formatCode>
                <c:ptCount val="5"/>
                <c:pt idx="0">
                  <c:v>-1.8932652452921849E-3</c:v>
                </c:pt>
                <c:pt idx="1">
                  <c:v>-1.707596159678715</c:v>
                </c:pt>
                <c:pt idx="2">
                  <c:v>0.37836112012827655</c:v>
                </c:pt>
                <c:pt idx="3">
                  <c:v>0.49972785984054791</c:v>
                </c:pt>
                <c:pt idx="4">
                  <c:v>0.83140044495518306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9F-4A50-B89A-20CE0D8C0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4083796417918706"/>
          <c:y val="0.48511348486940054"/>
          <c:w val="0.3255475207953365"/>
          <c:h val="0.17897684256180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Identification'!$Q$12</c:f>
              <c:strCache>
                <c:ptCount val="1"/>
                <c:pt idx="0">
                  <c:v>Sentinel-2 8-3-22 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Identification'!$Q$13:$Q$17</c:f>
              <c:numCache>
                <c:formatCode>General</c:formatCode>
                <c:ptCount val="5"/>
                <c:pt idx="0">
                  <c:v>-1.4389779285445217</c:v>
                </c:pt>
                <c:pt idx="1">
                  <c:v>-0.30823836582700925</c:v>
                </c:pt>
                <c:pt idx="2">
                  <c:v>0.47098633671222639</c:v>
                </c:pt>
                <c:pt idx="3">
                  <c:v>1.2698277494821355</c:v>
                </c:pt>
                <c:pt idx="4">
                  <c:v>6.402208177169022E-3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3-493F-A506-2F48731F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29478324373312"/>
          <c:y val="0.51544489976064456"/>
          <c:w val="0.3255475207953365"/>
          <c:h val="0.19110940851830319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Identification'!$R$12</c:f>
              <c:strCache>
                <c:ptCount val="1"/>
                <c:pt idx="0">
                  <c:v>Sentinel-2 8-3-22 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Identification'!$R$13:$R$17</c:f>
              <c:numCache>
                <c:formatCode>General</c:formatCode>
                <c:ptCount val="5"/>
                <c:pt idx="0" formatCode="0.00E+00">
                  <c:v>0.12570146505393692</c:v>
                </c:pt>
                <c:pt idx="1">
                  <c:v>-1.6347696261531399</c:v>
                </c:pt>
                <c:pt idx="2">
                  <c:v>0.6441167180691646</c:v>
                </c:pt>
                <c:pt idx="3">
                  <c:v>0.94373424965628805</c:v>
                </c:pt>
                <c:pt idx="4">
                  <c:v>-7.8782806626249577E-2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2-4379-8136-DB9FD80D8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9028726956278362"/>
          <c:y val="0.49117976784764938"/>
          <c:w val="0.3255475207953365"/>
          <c:h val="0.19717569149655201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Identification'!$S$12</c:f>
              <c:strCache>
                <c:ptCount val="1"/>
                <c:pt idx="0">
                  <c:v>Sentinel-2 8-3-22 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Identification'!$S$13:$S$17</c:f>
              <c:numCache>
                <c:formatCode>General</c:formatCode>
                <c:ptCount val="5"/>
                <c:pt idx="0">
                  <c:v>-1.5225601624828011</c:v>
                </c:pt>
                <c:pt idx="1">
                  <c:v>-0.39441663628345891</c:v>
                </c:pt>
                <c:pt idx="2">
                  <c:v>0.22644502281617962</c:v>
                </c:pt>
                <c:pt idx="3">
                  <c:v>0.99695616046556934</c:v>
                </c:pt>
                <c:pt idx="4">
                  <c:v>0.69357561548451085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4-4E6E-BDAA-677A6BD0A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35900839355214"/>
          <c:y val="0.51544489976064456"/>
          <c:w val="0.3255475207953365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Identification'!$T$12</c:f>
              <c:strCache>
                <c:ptCount val="1"/>
                <c:pt idx="0">
                  <c:v>Optical Kilroy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Identification'!$T$13:$T$17</c:f>
              <c:numCache>
                <c:formatCode>General</c:formatCode>
                <c:ptCount val="5"/>
                <c:pt idx="0">
                  <c:v>-0.95952218613671036</c:v>
                </c:pt>
                <c:pt idx="1">
                  <c:v>-0.97117495383788488</c:v>
                </c:pt>
                <c:pt idx="2">
                  <c:v>-4.3947581044429473E-2</c:v>
                </c:pt>
                <c:pt idx="3">
                  <c:v>0.6835180597288919</c:v>
                </c:pt>
                <c:pt idx="4">
                  <c:v>1.2911266612901329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0B-4368-9AA1-BD2857747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891181594023203"/>
          <c:y val="7.8672525326731441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Identification'!$U$12</c:f>
              <c:strCache>
                <c:ptCount val="1"/>
                <c:pt idx="0">
                  <c:v>Optical Kilroy Component 2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Identification'!$U$13:$U$17</c:f>
              <c:numCache>
                <c:formatCode>General</c:formatCode>
                <c:ptCount val="5"/>
                <c:pt idx="0">
                  <c:v>-1.0488553488451628</c:v>
                </c:pt>
                <c:pt idx="1">
                  <c:v>-1.0675061875734149</c:v>
                </c:pt>
                <c:pt idx="2">
                  <c:v>0.29061397800203836</c:v>
                </c:pt>
                <c:pt idx="3">
                  <c:v>0.98069501094736866</c:v>
                </c:pt>
                <c:pt idx="4">
                  <c:v>0.84505254746917091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D0-46C1-BA1D-AC230AB51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7891181594023203"/>
          <c:y val="7.8672525326731441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Identification'!$V$12</c:f>
              <c:strCache>
                <c:ptCount val="1"/>
                <c:pt idx="0">
                  <c:v>Optical Kilroy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Identification'!$V$13:$V$17</c:f>
              <c:numCache>
                <c:formatCode>General</c:formatCode>
                <c:ptCount val="5"/>
                <c:pt idx="0">
                  <c:v>-1.0719713578947727</c:v>
                </c:pt>
                <c:pt idx="1">
                  <c:v>-0.70295599611095538</c:v>
                </c:pt>
                <c:pt idx="2">
                  <c:v>1.359511050690678</c:v>
                </c:pt>
                <c:pt idx="3">
                  <c:v>0.6671505451655948</c:v>
                </c:pt>
                <c:pt idx="4">
                  <c:v>-0.25173424185054488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A4-46D9-8F48-A8F1197E4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6898834057075273"/>
          <c:y val="0.4972460508258981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Identification'!$W$12</c:f>
              <c:strCache>
                <c:ptCount val="1"/>
                <c:pt idx="0">
                  <c:v>Optical Kilroy Component 4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Identification'!$W$13:$W$17</c:f>
              <c:numCache>
                <c:formatCode>General</c:formatCode>
                <c:ptCount val="5"/>
                <c:pt idx="0">
                  <c:v>-0.6375955501605981</c:v>
                </c:pt>
                <c:pt idx="1">
                  <c:v>-1.1418451065266246</c:v>
                </c:pt>
                <c:pt idx="2">
                  <c:v>-0.3126347249469365</c:v>
                </c:pt>
                <c:pt idx="3">
                  <c:v>1.0040168944532442</c:v>
                </c:pt>
                <c:pt idx="4">
                  <c:v>1.0880584871809154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55-4DD4-BAF6-FA726A659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61693512138769"/>
          <c:y val="9.6871374261477766E-2"/>
          <c:w val="0.32563190602886849"/>
          <c:h val="0.20930825745304962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Identification'!$X$12</c:f>
              <c:strCache>
                <c:ptCount val="1"/>
                <c:pt idx="0">
                  <c:v>Optical Kilroy Component 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Identification'!$X$13:$X$17</c:f>
              <c:numCache>
                <c:formatCode>General</c:formatCode>
                <c:ptCount val="5"/>
                <c:pt idx="0">
                  <c:v>1.0079644225407176</c:v>
                </c:pt>
                <c:pt idx="1">
                  <c:v>-1.0258724198955018</c:v>
                </c:pt>
                <c:pt idx="2">
                  <c:v>-0.27117824565816262</c:v>
                </c:pt>
                <c:pt idx="3">
                  <c:v>1.0975044093146391</c:v>
                </c:pt>
                <c:pt idx="4">
                  <c:v>-0.80841816630169239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9-400E-912A-4430E951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8648951246482482"/>
          <c:y val="0.58824029549962997"/>
          <c:w val="0.49062956224072435"/>
          <c:h val="0.1607779936270592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'Component Identification'!$Y$12</c:f>
              <c:strCache>
                <c:ptCount val="1"/>
                <c:pt idx="0">
                  <c:v>Optical Kilroy Component 6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'Component Identification'!$A$13:$A$17</c:f>
              <c:numCache>
                <c:formatCode>General</c:formatCode>
                <c:ptCount val="5"/>
                <c:pt idx="0">
                  <c:v>443.9</c:v>
                </c:pt>
                <c:pt idx="1">
                  <c:v>496.6</c:v>
                </c:pt>
                <c:pt idx="2">
                  <c:v>560</c:v>
                </c:pt>
                <c:pt idx="3">
                  <c:v>664.5</c:v>
                </c:pt>
                <c:pt idx="4">
                  <c:v>703.9</c:v>
                </c:pt>
              </c:numCache>
            </c:numRef>
          </c:xVal>
          <c:yVal>
            <c:numRef>
              <c:f>'Component Identification'!$Y$13:$Y$17</c:f>
              <c:numCache>
                <c:formatCode>General</c:formatCode>
                <c:ptCount val="5"/>
                <c:pt idx="0">
                  <c:v>-0.65334117455890039</c:v>
                </c:pt>
                <c:pt idx="1">
                  <c:v>0.84159202146570211</c:v>
                </c:pt>
                <c:pt idx="2">
                  <c:v>0.45401674842228662</c:v>
                </c:pt>
                <c:pt idx="3">
                  <c:v>0.78622412531664287</c:v>
                </c:pt>
                <c:pt idx="4">
                  <c:v>-1.4284917206457315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F5-4417-9903-52ABFB7E5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8423432097932416"/>
          <c:y val="0.5639751635866348"/>
          <c:w val="0.49062956224072435"/>
          <c:h val="0.16077799362705927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Identification'!$B$1</c:f>
              <c:strCache>
                <c:ptCount val="1"/>
                <c:pt idx="0">
                  <c:v>S3 8-03-22 Component 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Identification'!$B$2:$B$12</c:f>
              <c:numCache>
                <c:formatCode>General</c:formatCode>
                <c:ptCount val="11"/>
                <c:pt idx="0">
                  <c:v>1.2183915649790658</c:v>
                </c:pt>
                <c:pt idx="1">
                  <c:v>1.357467089012925</c:v>
                </c:pt>
                <c:pt idx="2">
                  <c:v>1.3223429389776193</c:v>
                </c:pt>
                <c:pt idx="3">
                  <c:v>0.9217596624136517</c:v>
                </c:pt>
                <c:pt idx="4">
                  <c:v>-4.304574958943351E-2</c:v>
                </c:pt>
                <c:pt idx="5">
                  <c:v>-0.50220665287851385</c:v>
                </c:pt>
                <c:pt idx="6">
                  <c:v>-1.1063829952608477</c:v>
                </c:pt>
                <c:pt idx="7">
                  <c:v>-0.93357785223810363</c:v>
                </c:pt>
                <c:pt idx="8">
                  <c:v>-0.94516522901305799</c:v>
                </c:pt>
                <c:pt idx="9">
                  <c:v>-0.64269409955044621</c:v>
                </c:pt>
                <c:pt idx="10">
                  <c:v>-0.64688867685285767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37-4479-8E6A-BD5741714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2487467191601045"/>
          <c:y val="7.8672353455817995E-2"/>
          <c:w val="0.34776968503937006"/>
          <c:h val="0.19382473024205307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Identification'!$C$1</c:f>
              <c:strCache>
                <c:ptCount val="1"/>
                <c:pt idx="0">
                  <c:v>S3 8-03-22 Component 2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Identification'!$C$2:$C$12</c:f>
              <c:numCache>
                <c:formatCode>General</c:formatCode>
                <c:ptCount val="11"/>
                <c:pt idx="0">
                  <c:v>-0.3065236140099441</c:v>
                </c:pt>
                <c:pt idx="1">
                  <c:v>-0.53735248867777086</c:v>
                </c:pt>
                <c:pt idx="2">
                  <c:v>-0.56004040864849369</c:v>
                </c:pt>
                <c:pt idx="3">
                  <c:v>-2.677439794477425E-3</c:v>
                </c:pt>
                <c:pt idx="4">
                  <c:v>0.6074486660095284</c:v>
                </c:pt>
                <c:pt idx="5">
                  <c:v>0.44123026641094903</c:v>
                </c:pt>
                <c:pt idx="6">
                  <c:v>-0.42816328944827831</c:v>
                </c:pt>
                <c:pt idx="7">
                  <c:v>-1.1787509309293036</c:v>
                </c:pt>
                <c:pt idx="8">
                  <c:v>-1.3250028814256243</c:v>
                </c:pt>
                <c:pt idx="9">
                  <c:v>1.6395666133574784</c:v>
                </c:pt>
                <c:pt idx="10">
                  <c:v>1.6502655071559373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8-42D0-878A-FEFC9F48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3320800524934382"/>
          <c:y val="0.1064501312335958"/>
          <c:w val="0.33388079615048116"/>
          <c:h val="0.15678769320501604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Identification'!$D$1</c:f>
              <c:strCache>
                <c:ptCount val="1"/>
                <c:pt idx="0">
                  <c:v>S3 8-03-22 Component 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Identification'!$D$2:$D$12</c:f>
              <c:numCache>
                <c:formatCode>General</c:formatCode>
                <c:ptCount val="11"/>
                <c:pt idx="0">
                  <c:v>-9.9764981483508666E-2</c:v>
                </c:pt>
                <c:pt idx="1">
                  <c:v>0.14984822172317247</c:v>
                </c:pt>
                <c:pt idx="2">
                  <c:v>0.20081242691630977</c:v>
                </c:pt>
                <c:pt idx="3">
                  <c:v>-0.57188826164799789</c:v>
                </c:pt>
                <c:pt idx="4">
                  <c:v>-1.4067397686882892</c:v>
                </c:pt>
                <c:pt idx="5">
                  <c:v>-1.1994496861229347</c:v>
                </c:pt>
                <c:pt idx="6">
                  <c:v>0.55108387847110185</c:v>
                </c:pt>
                <c:pt idx="7">
                  <c:v>2.2703623600950422</c:v>
                </c:pt>
                <c:pt idx="8">
                  <c:v>0.72752619886961978</c:v>
                </c:pt>
                <c:pt idx="9">
                  <c:v>-0.34064092717094296</c:v>
                </c:pt>
                <c:pt idx="10">
                  <c:v>-0.28114946096157251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A-4981-B33F-329E31E37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76356080489939"/>
          <c:y val="0.1064501312335958"/>
          <c:w val="0.3255475207953365"/>
          <c:h val="0.1614173228346456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Identification'!$E$1</c:f>
              <c:strCache>
                <c:ptCount val="1"/>
                <c:pt idx="0">
                  <c:v>S3 8-03-22 Component 4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Identification'!$E$2:$E$12</c:f>
              <c:numCache>
                <c:formatCode>General</c:formatCode>
                <c:ptCount val="11"/>
                <c:pt idx="0">
                  <c:v>0.29708827631202211</c:v>
                </c:pt>
                <c:pt idx="1">
                  <c:v>0.34522259419242762</c:v>
                </c:pt>
                <c:pt idx="2">
                  <c:v>0.93954059513271493</c:v>
                </c:pt>
                <c:pt idx="3">
                  <c:v>1.2144318490096835</c:v>
                </c:pt>
                <c:pt idx="4">
                  <c:v>0.29388046474811907</c:v>
                </c:pt>
                <c:pt idx="5">
                  <c:v>-1.2829088574066525</c:v>
                </c:pt>
                <c:pt idx="6">
                  <c:v>-2.3508138405454284</c:v>
                </c:pt>
                <c:pt idx="7">
                  <c:v>-0.11830632718122135</c:v>
                </c:pt>
                <c:pt idx="8">
                  <c:v>0.11693017971168983</c:v>
                </c:pt>
                <c:pt idx="9">
                  <c:v>0.26051080266226312</c:v>
                </c:pt>
                <c:pt idx="10">
                  <c:v>0.28442426336438292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A-47FD-AD35-30CEF46DF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654133858267718"/>
          <c:y val="0.49533902012248471"/>
          <c:w val="0.3255475207953365"/>
          <c:h val="0.1614173228346456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Identification'!$F$1</c:f>
              <c:strCache>
                <c:ptCount val="1"/>
                <c:pt idx="0">
                  <c:v>S3 8-03-22 Component 5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Identification'!$F$2:$F$12</c:f>
              <c:numCache>
                <c:formatCode>General</c:formatCode>
                <c:ptCount val="11"/>
                <c:pt idx="0">
                  <c:v>1.97113283060136E-2</c:v>
                </c:pt>
                <c:pt idx="1">
                  <c:v>-0.16846200557140584</c:v>
                </c:pt>
                <c:pt idx="2">
                  <c:v>-0.41350363829059589</c:v>
                </c:pt>
                <c:pt idx="3">
                  <c:v>-0.60283510541962937</c:v>
                </c:pt>
                <c:pt idx="4">
                  <c:v>-0.65776904852792428</c:v>
                </c:pt>
                <c:pt idx="5">
                  <c:v>-0.30614686320367185</c:v>
                </c:pt>
                <c:pt idx="6">
                  <c:v>0.2868289018312658</c:v>
                </c:pt>
                <c:pt idx="7">
                  <c:v>0.51025626584519113</c:v>
                </c:pt>
                <c:pt idx="8">
                  <c:v>2.7497453151606974</c:v>
                </c:pt>
                <c:pt idx="9">
                  <c:v>-0.68058486972256615</c:v>
                </c:pt>
                <c:pt idx="10">
                  <c:v>-0.73724028040737455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4C-42BF-874E-C3091CB77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21376356080489939"/>
          <c:y val="0.1064501312335958"/>
          <c:w val="0.3255475207953365"/>
          <c:h val="0.175306211723534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719903762029747"/>
          <c:y val="5.706000291630213E-2"/>
          <c:w val="0.72561548556430444"/>
          <c:h val="0.70074912510936138"/>
        </c:manualLayout>
      </c:layout>
      <c:scatterChart>
        <c:scatterStyle val="lineMarker"/>
        <c:varyColors val="0"/>
        <c:ser>
          <c:idx val="0"/>
          <c:order val="0"/>
          <c:tx>
            <c:strRef>
              <c:f>'Sentinel-3 Identification'!$G$1</c:f>
              <c:strCache>
                <c:ptCount val="1"/>
                <c:pt idx="0">
                  <c:v>S3 8-03-22 Component 6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'Sentinel-3 Identification'!$A$2:$A$12</c:f>
              <c:numCache>
                <c:formatCode>General</c:formatCode>
                <c:ptCount val="11"/>
                <c:pt idx="0">
                  <c:v>400</c:v>
                </c:pt>
                <c:pt idx="1">
                  <c:v>413</c:v>
                </c:pt>
                <c:pt idx="2">
                  <c:v>443</c:v>
                </c:pt>
                <c:pt idx="3">
                  <c:v>490</c:v>
                </c:pt>
                <c:pt idx="4">
                  <c:v>510</c:v>
                </c:pt>
                <c:pt idx="5">
                  <c:v>560</c:v>
                </c:pt>
                <c:pt idx="6">
                  <c:v>620</c:v>
                </c:pt>
                <c:pt idx="7">
                  <c:v>665</c:v>
                </c:pt>
                <c:pt idx="8">
                  <c:v>673.5</c:v>
                </c:pt>
                <c:pt idx="9">
                  <c:v>681.5</c:v>
                </c:pt>
                <c:pt idx="10">
                  <c:v>709</c:v>
                </c:pt>
              </c:numCache>
            </c:numRef>
          </c:xVal>
          <c:yVal>
            <c:numRef>
              <c:f>'Sentinel-3 Identification'!$G$2:$G$12</c:f>
              <c:numCache>
                <c:formatCode>General</c:formatCode>
                <c:ptCount val="11"/>
                <c:pt idx="0">
                  <c:v>-2.0810817669158559</c:v>
                </c:pt>
                <c:pt idx="1">
                  <c:v>-0.4794361314019443</c:v>
                </c:pt>
                <c:pt idx="2">
                  <c:v>0.9133007096007133</c:v>
                </c:pt>
                <c:pt idx="3">
                  <c:v>1.738817984257659</c:v>
                </c:pt>
                <c:pt idx="4">
                  <c:v>0.97160564095273083</c:v>
                </c:pt>
                <c:pt idx="5">
                  <c:v>0.18328012703831623</c:v>
                </c:pt>
                <c:pt idx="6">
                  <c:v>-0.5106428341819077</c:v>
                </c:pt>
                <c:pt idx="7">
                  <c:v>0.1972756194149935</c:v>
                </c:pt>
                <c:pt idx="8">
                  <c:v>-0.40698691497636608</c:v>
                </c:pt>
                <c:pt idx="9">
                  <c:v>-0.25072546605727186</c:v>
                </c:pt>
                <c:pt idx="10">
                  <c:v>-0.2754069677310676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0-4047-904A-51AEF27B0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725040"/>
        <c:axId val="41711600"/>
      </c:scatterChart>
      <c:valAx>
        <c:axId val="41725040"/>
        <c:scaling>
          <c:orientation val="minMax"/>
          <c:max val="750"/>
          <c:min val="3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Wavelength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11600"/>
        <c:crosses val="autoZero"/>
        <c:crossBetween val="midCat"/>
      </c:valAx>
      <c:valAx>
        <c:axId val="417116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/>
                  <a:t>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4172504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7209689413823275"/>
          <c:y val="0.52774642752989209"/>
          <c:w val="0.3255475207953365"/>
          <c:h val="0.1706765820939049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1 (</a:t>
            </a:r>
            <a:r>
              <a:rPr lang="en-US" b="1"/>
              <a:t>Phycocyanin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40072961648513"/>
          <c:y val="0.1930943173102854"/>
          <c:w val="0.79309661590820368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'8-3SampledPixels'!$I$23</c:f>
              <c:strCache>
                <c:ptCount val="1"/>
                <c:pt idx="0">
                  <c:v>Chl ug/L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653713162588113"/>
                  <c:y val="1.001669740274529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'8-3SampledPixels'!$C$25:$C$29</c:f>
              <c:numCache>
                <c:formatCode>0.00E+00</c:formatCode>
                <c:ptCount val="5"/>
                <c:pt idx="0">
                  <c:v>-2.7010231860900001E-4</c:v>
                </c:pt>
                <c:pt idx="1">
                  <c:v>1.9744625023999999E-4</c:v>
                </c:pt>
                <c:pt idx="2">
                  <c:v>3.1844619661600002E-4</c:v>
                </c:pt>
                <c:pt idx="3">
                  <c:v>2.2018450545099999E-4</c:v>
                </c:pt>
                <c:pt idx="4">
                  <c:v>4.6997192840000002E-5</c:v>
                </c:pt>
              </c:numCache>
            </c:numRef>
          </c:xVal>
          <c:yVal>
            <c:numRef>
              <c:f>'8-3SampledPixels'!$I$25:$I$29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47-43C3-8739-699EBF2B4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1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2 (</a:t>
            </a:r>
            <a:r>
              <a:rPr lang="en-US" b="1"/>
              <a:t>Kaolinite</a:t>
            </a:r>
            <a:r>
              <a:rPr lang="en-US"/>
              <a:t>) )Values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869021637908883"/>
          <c:y val="0.1930943173102854"/>
          <c:w val="0.80285455414272666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'8-3SampledPixels'!$I$23</c:f>
              <c:strCache>
                <c:ptCount val="1"/>
                <c:pt idx="0">
                  <c:v>Chl ug/L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8.6425676165889809E-2"/>
                  <c:y val="-4.513606227849653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'8-3SampledPixels'!$D$25:$D$29</c:f>
              <c:numCache>
                <c:formatCode>0.00E+00</c:formatCode>
                <c:ptCount val="5"/>
                <c:pt idx="0">
                  <c:v>-6.5229152096399996E-4</c:v>
                </c:pt>
                <c:pt idx="1">
                  <c:v>5.5921747116400005E-4</c:v>
                </c:pt>
                <c:pt idx="2">
                  <c:v>9.2025141930199999E-4</c:v>
                </c:pt>
                <c:pt idx="3">
                  <c:v>6.3934555510100004E-4</c:v>
                </c:pt>
                <c:pt idx="4">
                  <c:v>3.2206607284000001E-4</c:v>
                </c:pt>
              </c:numCache>
            </c:numRef>
          </c:xVal>
          <c:yVal>
            <c:numRef>
              <c:f>'8-3SampledPixels'!$I$25:$I$29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3B-434A-B4E8-E35C1E27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2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3 (</a:t>
            </a:r>
            <a:r>
              <a:rPr lang="en-US" b="1"/>
              <a:t>Seagrass</a:t>
            </a:r>
            <a:r>
              <a:rPr lang="en-US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58070151214755"/>
          <c:y val="0.1930943173102854"/>
          <c:w val="0.7858630489178362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'8-3SampledPixels'!$I$23</c:f>
              <c:strCache>
                <c:ptCount val="1"/>
                <c:pt idx="0">
                  <c:v>Chl ug/L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1025312786821893E-2"/>
                  <c:y val="-2.88170850711853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'8-3SampledPixels'!$E$25:$E$29</c:f>
              <c:numCache>
                <c:formatCode>0.00E+00</c:formatCode>
                <c:ptCount val="5"/>
                <c:pt idx="0">
                  <c:v>7.4914650758700001E-4</c:v>
                </c:pt>
                <c:pt idx="1">
                  <c:v>-6.7415158264300004E-4</c:v>
                </c:pt>
                <c:pt idx="2">
                  <c:v>-1.03531696368E-3</c:v>
                </c:pt>
                <c:pt idx="3">
                  <c:v>-8.0235657514999995E-4</c:v>
                </c:pt>
                <c:pt idx="4">
                  <c:v>-4.64901473606E-4</c:v>
                </c:pt>
              </c:numCache>
            </c:numRef>
          </c:xVal>
          <c:yVal>
            <c:numRef>
              <c:f>'8-3SampledPixels'!$I$25:$I$29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A7-4233-AD23-364F8C1AF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Sampled Chl ug/L against Extracted Component 4 (</a:t>
            </a:r>
            <a:r>
              <a:rPr lang="en-US" sz="1200" b="1"/>
              <a:t>Sphalerite/dinoflagellates</a:t>
            </a:r>
            <a:r>
              <a:rPr lang="en-US" sz="1200"/>
              <a:t>)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02103595629168"/>
          <c:y val="0.1930943173102854"/>
          <c:w val="0.77555521491230817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'8-3SampledPixels'!$I$23</c:f>
              <c:strCache>
                <c:ptCount val="1"/>
                <c:pt idx="0">
                  <c:v>Chl ug/L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0872033599460565E-2"/>
                  <c:y val="-5.204822783608396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'8-3SampledPixels'!$F$25:$F$29</c:f>
              <c:numCache>
                <c:formatCode>0.00E+00</c:formatCode>
                <c:ptCount val="5"/>
                <c:pt idx="0">
                  <c:v>1.7996999667959999E-3</c:v>
                </c:pt>
                <c:pt idx="1">
                  <c:v>-1.720325904898E-3</c:v>
                </c:pt>
                <c:pt idx="2">
                  <c:v>-2.4095557164400001E-3</c:v>
                </c:pt>
                <c:pt idx="3">
                  <c:v>-1.940698013641E-3</c:v>
                </c:pt>
                <c:pt idx="4">
                  <c:v>-1.160505809821E-3</c:v>
                </c:pt>
              </c:numCache>
            </c:numRef>
          </c:xVal>
          <c:yVal>
            <c:numRef>
              <c:f>'8-3SampledPixels'!$I$25:$I$29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62-4407-9514-875F9962C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4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Sampled Chl ug/L against Extracted Component 5 (</a:t>
            </a:r>
            <a:r>
              <a:rPr lang="en-US" sz="1200" b="1"/>
              <a:t>Chlorite/Dinoflagellates) </a:t>
            </a:r>
            <a:r>
              <a:rPr lang="en-US" sz="1200"/>
              <a:t>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3666868564506"/>
          <c:y val="0.1930943173102854"/>
          <c:w val="0.7781717746820109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'8-3SampledPixels'!$I$23</c:f>
              <c:strCache>
                <c:ptCount val="1"/>
                <c:pt idx="0">
                  <c:v>Chl ug/L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0271945173519977E-2"/>
                  <c:y val="-2.541006045938353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'8-3SampledPixels'!$G$25:$G$29</c:f>
              <c:numCache>
                <c:formatCode>0.00E+00</c:formatCode>
                <c:ptCount val="5"/>
                <c:pt idx="0">
                  <c:v>3.1230358872560001E-3</c:v>
                </c:pt>
                <c:pt idx="1">
                  <c:v>-2.9281901661309998E-3</c:v>
                </c:pt>
                <c:pt idx="2">
                  <c:v>-4.0548779070380004E-3</c:v>
                </c:pt>
                <c:pt idx="3">
                  <c:v>-3.1975912861529998E-3</c:v>
                </c:pt>
                <c:pt idx="4">
                  <c:v>-2.020861487836E-3</c:v>
                </c:pt>
              </c:numCache>
            </c:numRef>
          </c:xVal>
          <c:yVal>
            <c:numRef>
              <c:f>'8-3SampledPixels'!$I$25:$I$29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70-4630-8701-41EB08D7E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5</a:t>
                </a:r>
              </a:p>
            </c:rich>
          </c:tx>
          <c:layout>
            <c:manualLayout>
              <c:xMode val="edge"/>
              <c:yMode val="edge"/>
              <c:x val="0.46508903694730469"/>
              <c:y val="0.90916690969184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Sampled Chl ug/L against Extracted Component 6 (</a:t>
            </a:r>
            <a:r>
              <a:rPr lang="en-US" b="1"/>
              <a:t>Goethite</a:t>
            </a:r>
            <a:r>
              <a:rPr lang="en-US"/>
              <a:t>)Values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089041378168397"/>
          <c:y val="0.1930943173102854"/>
          <c:w val="0.7705273430879542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'8-3SampledPixels'!$I$23</c:f>
              <c:strCache>
                <c:ptCount val="1"/>
                <c:pt idx="0">
                  <c:v>Chl ug/L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147192901196948"/>
                  <c:y val="2.583629823967290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'8-3SampledPixels'!$H$25:$H$29</c:f>
              <c:numCache>
                <c:formatCode>0.00E+00</c:formatCode>
                <c:ptCount val="5"/>
                <c:pt idx="0">
                  <c:v>-2.0502123516049999E-3</c:v>
                </c:pt>
                <c:pt idx="1">
                  <c:v>2.1230289712549999E-3</c:v>
                </c:pt>
                <c:pt idx="2">
                  <c:v>3.0401090625669998E-3</c:v>
                </c:pt>
                <c:pt idx="3">
                  <c:v>2.3940850514920001E-3</c:v>
                </c:pt>
                <c:pt idx="4">
                  <c:v>1.3940132921560001E-3</c:v>
                </c:pt>
              </c:numCache>
            </c:numRef>
          </c:xVal>
          <c:yVal>
            <c:numRef>
              <c:f>'8-3SampledPixels'!$I$25:$I$29</c:f>
              <c:numCache>
                <c:formatCode>0.00E+00</c:formatCode>
                <c:ptCount val="5"/>
                <c:pt idx="0">
                  <c:v>16.048768119999998</c:v>
                </c:pt>
                <c:pt idx="1">
                  <c:v>4.7270270270000001</c:v>
                </c:pt>
                <c:pt idx="2">
                  <c:v>2.6101986749999999</c:v>
                </c:pt>
                <c:pt idx="3">
                  <c:v>5.9923607429999999</c:v>
                </c:pt>
                <c:pt idx="4">
                  <c:v>8.4017708330000005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51-4A47-8874-E85AE4983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6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1 Values</a:t>
            </a:r>
          </a:p>
        </c:rich>
      </c:tx>
      <c:layout>
        <c:manualLayout>
          <c:xMode val="edge"/>
          <c:yMode val="edge"/>
          <c:x val="0.139235928842228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704488204946622"/>
          <c:y val="0.18692135705259064"/>
          <c:w val="0.69724862341189564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'8-3SampledPixels'!$J$23</c:f>
              <c:strCache>
                <c:ptCount val="1"/>
                <c:pt idx="0">
                  <c:v>Total Biovolume 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99844463886458"/>
                  <c:y val="-2.108729976846985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'8-3SampledPixels'!$C$25:$C$29</c:f>
              <c:numCache>
                <c:formatCode>0.00E+00</c:formatCode>
                <c:ptCount val="5"/>
                <c:pt idx="0">
                  <c:v>-2.7010231860900001E-4</c:v>
                </c:pt>
                <c:pt idx="1">
                  <c:v>1.9744625023999999E-4</c:v>
                </c:pt>
                <c:pt idx="2">
                  <c:v>3.1844619661600002E-4</c:v>
                </c:pt>
                <c:pt idx="3">
                  <c:v>2.2018450545099999E-4</c:v>
                </c:pt>
                <c:pt idx="4">
                  <c:v>4.6997192840000002E-5</c:v>
                </c:pt>
              </c:numCache>
            </c:numRef>
          </c:xVal>
          <c:yVal>
            <c:numRef>
              <c:f>'8-3SampledPixels'!$J$25:$J$29</c:f>
              <c:numCache>
                <c:formatCode>0.00E+00</c:formatCode>
                <c:ptCount val="5"/>
                <c:pt idx="0">
                  <c:v>35991550341.403343</c:v>
                </c:pt>
                <c:pt idx="1">
                  <c:v>3151868299.3693657</c:v>
                </c:pt>
                <c:pt idx="2">
                  <c:v>6575334920.4394131</c:v>
                </c:pt>
                <c:pt idx="3">
                  <c:v>14689879834.446617</c:v>
                </c:pt>
                <c:pt idx="4">
                  <c:v>13164350541.355188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D2-467D-8532-054C2B537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1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2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63750364537767"/>
          <c:y val="0.1930943173102854"/>
          <c:w val="0.7605572567317975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'8-3SampledPixels'!$J$23</c:f>
              <c:strCache>
                <c:ptCount val="1"/>
                <c:pt idx="0">
                  <c:v>Total Biovolume 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412603554848803"/>
                  <c:y val="-4.14439848499950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'8-3SampledPixels'!$D$25:$D$29</c:f>
              <c:numCache>
                <c:formatCode>0.00E+00</c:formatCode>
                <c:ptCount val="5"/>
                <c:pt idx="0">
                  <c:v>-6.5229152096399996E-4</c:v>
                </c:pt>
                <c:pt idx="1">
                  <c:v>5.5921747116400005E-4</c:v>
                </c:pt>
                <c:pt idx="2">
                  <c:v>9.2025141930199999E-4</c:v>
                </c:pt>
                <c:pt idx="3">
                  <c:v>6.3934555510100004E-4</c:v>
                </c:pt>
                <c:pt idx="4">
                  <c:v>3.2206607284000001E-4</c:v>
                </c:pt>
              </c:numCache>
            </c:numRef>
          </c:xVal>
          <c:yVal>
            <c:numRef>
              <c:f>'8-3SampledPixels'!$J$25:$J$29</c:f>
              <c:numCache>
                <c:formatCode>0.00E+00</c:formatCode>
                <c:ptCount val="5"/>
                <c:pt idx="0">
                  <c:v>35991550341.403343</c:v>
                </c:pt>
                <c:pt idx="1">
                  <c:v>3151868299.3693657</c:v>
                </c:pt>
                <c:pt idx="2">
                  <c:v>6575334920.4394131</c:v>
                </c:pt>
                <c:pt idx="3">
                  <c:v>14689879834.446617</c:v>
                </c:pt>
                <c:pt idx="4">
                  <c:v>13164350541.355188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A2-4329-BA74-EE930CC4B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2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3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174103237095362"/>
          <c:y val="0.1930943173102854"/>
          <c:w val="0.76194711772139589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'8-3SampledPixels'!$J$23</c:f>
              <c:strCache>
                <c:ptCount val="1"/>
                <c:pt idx="0">
                  <c:v>Total Biovolume 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6036664895415682E-2"/>
                  <c:y val="-4.720933970061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'8-3SampledPixels'!$E$25:$E$29</c:f>
              <c:numCache>
                <c:formatCode>0.00E+00</c:formatCode>
                <c:ptCount val="5"/>
                <c:pt idx="0">
                  <c:v>7.4914650758700001E-4</c:v>
                </c:pt>
                <c:pt idx="1">
                  <c:v>-6.7415158264300004E-4</c:v>
                </c:pt>
                <c:pt idx="2">
                  <c:v>-1.03531696368E-3</c:v>
                </c:pt>
                <c:pt idx="3">
                  <c:v>-8.0235657514999995E-4</c:v>
                </c:pt>
                <c:pt idx="4">
                  <c:v>-4.64901473606E-4</c:v>
                </c:pt>
              </c:numCache>
            </c:numRef>
          </c:xVal>
          <c:yVal>
            <c:numRef>
              <c:f>'8-3SampledPixels'!$J$25:$J$29</c:f>
              <c:numCache>
                <c:formatCode>0.00E+00</c:formatCode>
                <c:ptCount val="5"/>
                <c:pt idx="0">
                  <c:v>35991550341.403343</c:v>
                </c:pt>
                <c:pt idx="1">
                  <c:v>3151868299.3693657</c:v>
                </c:pt>
                <c:pt idx="2">
                  <c:v>6575334920.4394131</c:v>
                </c:pt>
                <c:pt idx="3">
                  <c:v>14689879834.446617</c:v>
                </c:pt>
                <c:pt idx="4">
                  <c:v>13164350541.355188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9D-465E-992A-37CB87EBF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3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286672499270923E-2"/>
              <c:y val="0.397289540196364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4 Values</a:t>
            </a:r>
          </a:p>
        </c:rich>
      </c:tx>
      <c:layout>
        <c:manualLayout>
          <c:xMode val="edge"/>
          <c:yMode val="edge"/>
          <c:x val="0.176272965879265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856226305045204"/>
          <c:y val="0.19926703606493634"/>
          <c:w val="0.7624280645474871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'8-3SampledPixels'!$J$23</c:f>
              <c:strCache>
                <c:ptCount val="1"/>
                <c:pt idx="0">
                  <c:v>Total Biovolume 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0998210678182739E-2"/>
                  <c:y val="-4.27983563693675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'8-3SampledPixels'!$F$25:$F$29</c:f>
              <c:numCache>
                <c:formatCode>0.00E+00</c:formatCode>
                <c:ptCount val="5"/>
                <c:pt idx="0">
                  <c:v>1.7996999667959999E-3</c:v>
                </c:pt>
                <c:pt idx="1">
                  <c:v>-1.720325904898E-3</c:v>
                </c:pt>
                <c:pt idx="2">
                  <c:v>-2.4095557164400001E-3</c:v>
                </c:pt>
                <c:pt idx="3">
                  <c:v>-1.940698013641E-3</c:v>
                </c:pt>
                <c:pt idx="4">
                  <c:v>-1.160505809821E-3</c:v>
                </c:pt>
              </c:numCache>
            </c:numRef>
          </c:xVal>
          <c:yVal>
            <c:numRef>
              <c:f>'8-3SampledPixels'!$J$25:$J$29</c:f>
              <c:numCache>
                <c:formatCode>0.00E+00</c:formatCode>
                <c:ptCount val="5"/>
                <c:pt idx="0">
                  <c:v>35991550341.403343</c:v>
                </c:pt>
                <c:pt idx="1">
                  <c:v>3151868299.3693657</c:v>
                </c:pt>
                <c:pt idx="2">
                  <c:v>6575334920.4394131</c:v>
                </c:pt>
                <c:pt idx="3">
                  <c:v>14689879834.446617</c:v>
                </c:pt>
                <c:pt idx="4">
                  <c:v>13164350541.355188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DE-42C3-815C-BC0B72EE0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4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5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90137277515501"/>
          <c:y val="0.19926702937687307"/>
          <c:w val="0.7655239990322853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'8-3SampledPixels'!$J$23</c:f>
              <c:strCache>
                <c:ptCount val="1"/>
                <c:pt idx="0">
                  <c:v>Total Biovolume 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7988723631768252E-2"/>
                  <c:y val="-5.605825774942688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'8-3SampledPixels'!$G$25:$G$29</c:f>
              <c:numCache>
                <c:formatCode>0.00E+00</c:formatCode>
                <c:ptCount val="5"/>
                <c:pt idx="0">
                  <c:v>3.1230358872560001E-3</c:v>
                </c:pt>
                <c:pt idx="1">
                  <c:v>-2.9281901661309998E-3</c:v>
                </c:pt>
                <c:pt idx="2">
                  <c:v>-4.0548779070380004E-3</c:v>
                </c:pt>
                <c:pt idx="3">
                  <c:v>-3.1975912861529998E-3</c:v>
                </c:pt>
                <c:pt idx="4">
                  <c:v>-2.020861487836E-3</c:v>
                </c:pt>
              </c:numCache>
            </c:numRef>
          </c:xVal>
          <c:yVal>
            <c:numRef>
              <c:f>'8-3SampledPixels'!$J$25:$J$29</c:f>
              <c:numCache>
                <c:formatCode>0.00E+00</c:formatCode>
                <c:ptCount val="5"/>
                <c:pt idx="0">
                  <c:v>35991550341.403343</c:v>
                </c:pt>
                <c:pt idx="1">
                  <c:v>3151868299.3693657</c:v>
                </c:pt>
                <c:pt idx="2">
                  <c:v>6575334920.4394131</c:v>
                </c:pt>
                <c:pt idx="3">
                  <c:v>14689879834.446617</c:v>
                </c:pt>
                <c:pt idx="4">
                  <c:v>13164350541.355188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8B-44EA-A9B0-4751EDADD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5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Extracted Component 6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1795470010693"/>
          <c:y val="0.20543987557110918"/>
          <c:w val="0.75625522504131426"/>
          <c:h val="0.559841514074339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'8-3SampledPixels'!$J$23</c:f>
              <c:strCache>
                <c:ptCount val="1"/>
                <c:pt idx="0">
                  <c:v>Total Biovolume 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772969942224721"/>
                  <c:y val="-1.12062693112728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'8-3SampledPixels'!$H$25:$H$29</c:f>
              <c:numCache>
                <c:formatCode>0.00E+00</c:formatCode>
                <c:ptCount val="5"/>
                <c:pt idx="0">
                  <c:v>-2.0502123516049999E-3</c:v>
                </c:pt>
                <c:pt idx="1">
                  <c:v>2.1230289712549999E-3</c:v>
                </c:pt>
                <c:pt idx="2">
                  <c:v>3.0401090625669998E-3</c:v>
                </c:pt>
                <c:pt idx="3">
                  <c:v>2.3940850514920001E-3</c:v>
                </c:pt>
                <c:pt idx="4">
                  <c:v>1.3940132921560001E-3</c:v>
                </c:pt>
              </c:numCache>
            </c:numRef>
          </c:xVal>
          <c:yVal>
            <c:numRef>
              <c:f>'8-3SampledPixels'!$J$25:$J$29</c:f>
              <c:numCache>
                <c:formatCode>0.00E+00</c:formatCode>
                <c:ptCount val="5"/>
                <c:pt idx="0">
                  <c:v>35991550341.403343</c:v>
                </c:pt>
                <c:pt idx="1">
                  <c:v>3151868299.3693657</c:v>
                </c:pt>
                <c:pt idx="2">
                  <c:v>6575334920.4394131</c:v>
                </c:pt>
                <c:pt idx="3">
                  <c:v>14689879834.446617</c:v>
                </c:pt>
                <c:pt idx="4">
                  <c:v>13164350541.355188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87-4C79-94CB-37754E9D2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6</a:t>
                </a:r>
              </a:p>
            </c:rich>
          </c:tx>
          <c:layout>
            <c:manualLayout>
              <c:xMode val="edge"/>
              <c:yMode val="edge"/>
              <c:x val="0.40047376127034678"/>
              <c:y val="0.909166836346085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Biovolume against Chl ug/L</a:t>
            </a:r>
          </a:p>
        </c:rich>
      </c:tx>
      <c:layout>
        <c:manualLayout>
          <c:xMode val="edge"/>
          <c:yMode val="edge"/>
          <c:x val="0.29278625565786037"/>
          <c:y val="8.0792419420365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'8-3SampledPixels'!$C$13</c:f>
              <c:strCache>
                <c:ptCount val="1"/>
                <c:pt idx="0">
                  <c:v>Total Biovolume 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08415052412927E-2"/>
                  <c:y val="-7.22064052338285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'8-3SampledPixels'!$E$14:$E$19</c:f>
              <c:numCache>
                <c:formatCode>0.00E+00</c:formatCode>
                <c:ptCount val="6"/>
                <c:pt idx="0">
                  <c:v>7.3125657889999998</c:v>
                </c:pt>
                <c:pt idx="1">
                  <c:v>16.048768119999998</c:v>
                </c:pt>
                <c:pt idx="2">
                  <c:v>4.7270270270000001</c:v>
                </c:pt>
                <c:pt idx="3">
                  <c:v>2.6101986749999999</c:v>
                </c:pt>
                <c:pt idx="4">
                  <c:v>5.9923607429999999</c:v>
                </c:pt>
                <c:pt idx="5">
                  <c:v>8.4017708330000005</c:v>
                </c:pt>
              </c:numCache>
            </c:numRef>
          </c:xVal>
          <c:yVal>
            <c:numRef>
              <c:f>'8-3SampledPixels'!$C$14:$C$19</c:f>
              <c:numCache>
                <c:formatCode>0.00E+00</c:formatCode>
                <c:ptCount val="6"/>
                <c:pt idx="1">
                  <c:v>35991550341.403343</c:v>
                </c:pt>
                <c:pt idx="2">
                  <c:v>3151868299.3693657</c:v>
                </c:pt>
                <c:pt idx="3">
                  <c:v>6575334920.4394131</c:v>
                </c:pt>
                <c:pt idx="4">
                  <c:v>14689879834.446617</c:v>
                </c:pt>
                <c:pt idx="5">
                  <c:v>13164350541.355188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A0-412B-B3D7-C07F26FDD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Chl</a:t>
                </a:r>
                <a:r>
                  <a:rPr lang="en-US" baseline="0"/>
                  <a:t> (ug/L)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1158476718188006"/>
              <c:y val="0.9062096524637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Chlorophyta</a:t>
            </a:r>
            <a:r>
              <a:rPr lang="en-US" baseline="0"/>
              <a:t> </a:t>
            </a:r>
            <a:r>
              <a:rPr lang="en-US"/>
              <a:t>Biovolume </a:t>
            </a:r>
          </a:p>
        </c:rich>
      </c:tx>
      <c:layout>
        <c:manualLayout>
          <c:xMode val="edge"/>
          <c:yMode val="edge"/>
          <c:x val="0.29730346171514327"/>
          <c:y val="8.61646546888612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'8-3SampledPixels'!$Y$13</c:f>
              <c:strCache>
                <c:ptCount val="1"/>
                <c:pt idx="0">
                  <c:v>8/3/22 Chlorophyta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367195325259151"/>
                  <c:y val="-2.66894224428842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'8-3SampledPixels'!$L$14:$L$19</c:f>
              <c:numCache>
                <c:formatCode>0.00E+00</c:formatCode>
                <c:ptCount val="6"/>
                <c:pt idx="1">
                  <c:v>-6.5229152096399996E-4</c:v>
                </c:pt>
                <c:pt idx="2">
                  <c:v>5.5921747116400005E-4</c:v>
                </c:pt>
                <c:pt idx="3">
                  <c:v>9.2025141930199999E-4</c:v>
                </c:pt>
                <c:pt idx="4">
                  <c:v>6.3934555510100004E-4</c:v>
                </c:pt>
                <c:pt idx="5">
                  <c:v>3.2206607284000001E-4</c:v>
                </c:pt>
              </c:numCache>
            </c:numRef>
          </c:xVal>
          <c:yVal>
            <c:numRef>
              <c:f>'8-3SampledPixels'!$Y$14:$Y$19</c:f>
              <c:numCache>
                <c:formatCode>0.00E+00</c:formatCode>
                <c:ptCount val="6"/>
                <c:pt idx="0">
                  <c:v>20800373.595605865</c:v>
                </c:pt>
                <c:pt idx="1">
                  <c:v>17357375.596416522</c:v>
                </c:pt>
                <c:pt idx="2">
                  <c:v>8029530.301068671</c:v>
                </c:pt>
                <c:pt idx="3">
                  <c:v>1301171.3290317196</c:v>
                </c:pt>
                <c:pt idx="4">
                  <c:v>1087910.8255735592</c:v>
                </c:pt>
                <c:pt idx="5">
                  <c:v>5223722.7801010562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C-FF4E-9F7B-C3F751592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</a:rPr>
                  <a:t>Sample VPC 2</a:t>
                </a:r>
              </a:p>
            </c:rich>
          </c:tx>
          <c:layout>
            <c:manualLayout>
              <c:xMode val="edge"/>
              <c:yMode val="edge"/>
              <c:x val="0.49314504478299481"/>
              <c:y val="0.902713312521328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9.5829619694861919E-3"/>
              <c:y val="0.40472051888690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</a:t>
            </a:r>
            <a:r>
              <a:rPr lang="en-US" baseline="0"/>
              <a:t>Miozoa </a:t>
            </a:r>
            <a:r>
              <a:rPr lang="en-US"/>
              <a:t>Biovolume </a:t>
            </a:r>
          </a:p>
        </c:rich>
      </c:tx>
      <c:layout>
        <c:manualLayout>
          <c:xMode val="edge"/>
          <c:yMode val="edge"/>
          <c:x val="0.32548706087168527"/>
          <c:y val="8.3037596768223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17942383195942"/>
          <c:y val="0.1930943173102854"/>
          <c:w val="0.73209330610290679"/>
          <c:h val="0.628291315771744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'8-3SampledPixels'!$AC$13</c:f>
              <c:strCache>
                <c:ptCount val="1"/>
                <c:pt idx="0">
                  <c:v>8/3/22 Miozoa (BVum3/L)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7591111682585972E-2"/>
                  <c:y val="-7.00650349740765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'8-3SampledPixels'!$O$14:$O$19</c:f>
              <c:numCache>
                <c:formatCode>0.00E+00</c:formatCode>
                <c:ptCount val="6"/>
                <c:pt idx="1">
                  <c:v>3.1230358872560001E-3</c:v>
                </c:pt>
                <c:pt idx="2">
                  <c:v>-2.9281901661309998E-3</c:v>
                </c:pt>
                <c:pt idx="3">
                  <c:v>-4.0548779070380004E-3</c:v>
                </c:pt>
                <c:pt idx="4">
                  <c:v>-3.1975912861529998E-3</c:v>
                </c:pt>
                <c:pt idx="5">
                  <c:v>-2.020861487836E-3</c:v>
                </c:pt>
              </c:numCache>
            </c:numRef>
          </c:xVal>
          <c:yVal>
            <c:numRef>
              <c:f>'8-3SampledPixels'!$AC$14:$AC$19</c:f>
              <c:numCache>
                <c:formatCode>0.00E+00</c:formatCode>
                <c:ptCount val="6"/>
                <c:pt idx="0">
                  <c:v>137357797.4479478</c:v>
                </c:pt>
                <c:pt idx="1">
                  <c:v>35861729504.957695</c:v>
                </c:pt>
                <c:pt idx="2">
                  <c:v>2951198741.6195369</c:v>
                </c:pt>
                <c:pt idx="3">
                  <c:v>6343513283.429287</c:v>
                </c:pt>
                <c:pt idx="4">
                  <c:v>14667505391.744059</c:v>
                </c:pt>
                <c:pt idx="5">
                  <c:v>12737399356.691914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47-6E4C-8B21-307BE5745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531679"/>
        <c:axId val="1892528319"/>
      </c:scatterChart>
      <c:valAx>
        <c:axId val="1892531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</a:t>
                </a:r>
                <a:r>
                  <a:rPr lang="en-US" baseline="0"/>
                  <a:t> </a:t>
                </a:r>
                <a:r>
                  <a:rPr lang="en-US"/>
                  <a:t>VPC 5</a:t>
                </a:r>
              </a:p>
            </c:rich>
          </c:tx>
          <c:layout>
            <c:manualLayout>
              <c:xMode val="edge"/>
              <c:yMode val="edge"/>
              <c:x val="0.45692354427918724"/>
              <c:y val="0.915412595897422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28319"/>
        <c:crosses val="autoZero"/>
        <c:crossBetween val="midCat"/>
      </c:valAx>
      <c:valAx>
        <c:axId val="18925283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0" i="0" u="none" strike="noStrike" kern="1200" baseline="0">
                    <a:solidFill>
                      <a:sysClr val="windowText" lastClr="000000"/>
                    </a:solidFill>
                  </a:rPr>
                  <a:t>BVum3/L</a:t>
                </a:r>
                <a:endParaRPr lang="en-US" sz="1100"/>
              </a:p>
            </c:rich>
          </c:tx>
          <c:layout>
            <c:manualLayout>
              <c:xMode val="edge"/>
              <c:yMode val="edge"/>
              <c:x val="9.5829619694861919E-3"/>
              <c:y val="0.40472051888690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531679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Extracted VPC Pixels</a:t>
            </a:r>
          </a:p>
        </c:rich>
      </c:tx>
      <c:layout>
        <c:manualLayout>
          <c:xMode val="edge"/>
          <c:yMode val="edge"/>
          <c:x val="0.38118970938308622"/>
          <c:y val="2.2181146025878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07045881583103"/>
          <c:y val="0.13251853400351427"/>
          <c:w val="0.81461191736668648"/>
          <c:h val="0.62816823591018756"/>
        </c:manualLayout>
      </c:layout>
      <c:lineChart>
        <c:grouping val="standard"/>
        <c:varyColors val="0"/>
        <c:ser>
          <c:idx val="2"/>
          <c:order val="0"/>
          <c:tx>
            <c:strRef>
              <c:f>'8-3SampledPixels'!$K$13</c:f>
              <c:strCache>
                <c:ptCount val="1"/>
                <c:pt idx="0">
                  <c:v>SAMPLE_VPC1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3"/>
            <c:marker>
              <c:symbol val="square"/>
              <c:size val="8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021-8743-B4BF-F2714A27D63D}"/>
              </c:ext>
            </c:extLst>
          </c:dPt>
          <c:cat>
            <c:strRef>
              <c:f>'8-3SampledPixels'!$B$14:$B$19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'8-3SampledPixels'!$K$14:$K$19</c:f>
              <c:numCache>
                <c:formatCode>0.00E+00</c:formatCode>
                <c:ptCount val="6"/>
                <c:pt idx="1">
                  <c:v>-2.7010231860900001E-4</c:v>
                </c:pt>
                <c:pt idx="2">
                  <c:v>1.9744625023999999E-4</c:v>
                </c:pt>
                <c:pt idx="3">
                  <c:v>3.1844619661600002E-4</c:v>
                </c:pt>
                <c:pt idx="4">
                  <c:v>2.2018450545099999E-4</c:v>
                </c:pt>
                <c:pt idx="5">
                  <c:v>4.6997192840000002E-5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21-8743-B4BF-F2714A27D63D}"/>
            </c:ext>
          </c:extLst>
        </c:ser>
        <c:ser>
          <c:idx val="0"/>
          <c:order val="1"/>
          <c:tx>
            <c:strRef>
              <c:f>'8-3SampledPixels'!$L$13</c:f>
              <c:strCache>
                <c:ptCount val="1"/>
                <c:pt idx="0">
                  <c:v>SAMPLE_VPC2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'8-3SampledPixels'!$B$14:$B$19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'8-3SampledPixels'!$L$14:$L$19</c:f>
              <c:numCache>
                <c:formatCode>0.00E+00</c:formatCode>
                <c:ptCount val="6"/>
                <c:pt idx="1">
                  <c:v>-6.5229152096399996E-4</c:v>
                </c:pt>
                <c:pt idx="2">
                  <c:v>5.5921747116400005E-4</c:v>
                </c:pt>
                <c:pt idx="3">
                  <c:v>9.2025141930199999E-4</c:v>
                </c:pt>
                <c:pt idx="4">
                  <c:v>6.3934555510100004E-4</c:v>
                </c:pt>
                <c:pt idx="5">
                  <c:v>3.2206607284000001E-4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21-8743-B4BF-F2714A27D63D}"/>
            </c:ext>
          </c:extLst>
        </c:ser>
        <c:ser>
          <c:idx val="1"/>
          <c:order val="2"/>
          <c:tx>
            <c:strRef>
              <c:f>'8-3SampledPixels'!$M$13</c:f>
              <c:strCache>
                <c:ptCount val="1"/>
                <c:pt idx="0">
                  <c:v>SAMPLE_VPC3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'8-3SampledPixels'!$B$14:$B$19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'8-3SampledPixels'!$M$14:$M$19</c:f>
              <c:numCache>
                <c:formatCode>0.00E+00</c:formatCode>
                <c:ptCount val="6"/>
                <c:pt idx="1">
                  <c:v>7.4914650758700001E-4</c:v>
                </c:pt>
                <c:pt idx="2">
                  <c:v>-6.7415158264300004E-4</c:v>
                </c:pt>
                <c:pt idx="3">
                  <c:v>-1.03531696368E-3</c:v>
                </c:pt>
                <c:pt idx="4">
                  <c:v>-8.0235657514999995E-4</c:v>
                </c:pt>
                <c:pt idx="5">
                  <c:v>-4.64901473606E-4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21-8743-B4BF-F2714A27D63D}"/>
            </c:ext>
          </c:extLst>
        </c:ser>
        <c:ser>
          <c:idx val="3"/>
          <c:order val="3"/>
          <c:tx>
            <c:strRef>
              <c:f>'8-3SampledPixels'!$N$13</c:f>
              <c:strCache>
                <c:ptCount val="1"/>
                <c:pt idx="0">
                  <c:v>SAMPLE_VPC4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'8-3SampledPixels'!$B$14:$B$19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'8-3SampledPixels'!$N$14:$N$19</c:f>
              <c:numCache>
                <c:formatCode>0.00E+00</c:formatCode>
                <c:ptCount val="6"/>
                <c:pt idx="1">
                  <c:v>1.7996999667959999E-3</c:v>
                </c:pt>
                <c:pt idx="2">
                  <c:v>-1.720325904898E-3</c:v>
                </c:pt>
                <c:pt idx="3">
                  <c:v>-2.4095557164400001E-3</c:v>
                </c:pt>
                <c:pt idx="4">
                  <c:v>-1.940698013641E-3</c:v>
                </c:pt>
                <c:pt idx="5">
                  <c:v>-1.160505809821E-3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21-8743-B4BF-F2714A27D63D}"/>
            </c:ext>
          </c:extLst>
        </c:ser>
        <c:ser>
          <c:idx val="4"/>
          <c:order val="4"/>
          <c:tx>
            <c:strRef>
              <c:f>'8-3SampledPixels'!$O$13</c:f>
              <c:strCache>
                <c:ptCount val="1"/>
                <c:pt idx="0">
                  <c:v>SAMPLE_VPC5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'8-3SampledPixels'!$B$14:$B$19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'8-3SampledPixels'!$O$14:$O$19</c:f>
              <c:numCache>
                <c:formatCode>0.00E+00</c:formatCode>
                <c:ptCount val="6"/>
                <c:pt idx="1">
                  <c:v>3.1230358872560001E-3</c:v>
                </c:pt>
                <c:pt idx="2">
                  <c:v>-2.9281901661309998E-3</c:v>
                </c:pt>
                <c:pt idx="3">
                  <c:v>-4.0548779070380004E-3</c:v>
                </c:pt>
                <c:pt idx="4">
                  <c:v>-3.1975912861529998E-3</c:v>
                </c:pt>
                <c:pt idx="5">
                  <c:v>-2.020861487836E-3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21-8743-B4BF-F2714A27D63D}"/>
            </c:ext>
          </c:extLst>
        </c:ser>
        <c:ser>
          <c:idx val="5"/>
          <c:order val="5"/>
          <c:tx>
            <c:strRef>
              <c:f>'8-3SampledPixels'!$P$13</c:f>
              <c:strCache>
                <c:ptCount val="1"/>
                <c:pt idx="0">
                  <c:v>SAMPLE_VPC6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'8-3SampledPixels'!$B$14:$B$19</c:f>
              <c:strCache>
                <c:ptCount val="6"/>
                <c:pt idx="0">
                  <c:v>Barge Junction</c:v>
                </c:pt>
                <c:pt idx="1">
                  <c:v>Grand South</c:v>
                </c:pt>
                <c:pt idx="2">
                  <c:v>Kars Park</c:v>
                </c:pt>
                <c:pt idx="3">
                  <c:v>OS1</c:v>
                </c:pt>
                <c:pt idx="4">
                  <c:v>OS2</c:v>
                </c:pt>
                <c:pt idx="5">
                  <c:v>Sykes Creek</c:v>
                </c:pt>
              </c:strCache>
            </c:strRef>
          </c:cat>
          <c:val>
            <c:numRef>
              <c:f>'8-3SampledPixels'!$P$14:$P$19</c:f>
              <c:numCache>
                <c:formatCode>0.00E+00</c:formatCode>
                <c:ptCount val="6"/>
                <c:pt idx="1">
                  <c:v>-2.0502123516049999E-3</c:v>
                </c:pt>
                <c:pt idx="2">
                  <c:v>2.1230289712549999E-3</c:v>
                </c:pt>
                <c:pt idx="3">
                  <c:v>3.0401090625669998E-3</c:v>
                </c:pt>
                <c:pt idx="4">
                  <c:v>2.3940850514920001E-3</c:v>
                </c:pt>
                <c:pt idx="5">
                  <c:v>1.3940132921560001E-3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21-8743-B4BF-F2714A27D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299183"/>
        <c:axId val="701300895"/>
      </c:lineChart>
      <c:catAx>
        <c:axId val="70129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300895"/>
        <c:crossesAt val="-5.0000000000000001E-3"/>
        <c:auto val="1"/>
        <c:lblAlgn val="ctr"/>
        <c:lblOffset val="100"/>
        <c:noMultiLvlLbl val="0"/>
      </c:catAx>
      <c:valAx>
        <c:axId val="7013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Component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299183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8/1/22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'Cell Count'!$O$39:$T$39</c:f>
              <c:strCache>
                <c:ptCount val="6"/>
                <c:pt idx="0">
                  <c:v>Barge Junction</c:v>
                </c:pt>
                <c:pt idx="1">
                  <c:v>Sykes Creek</c:v>
                </c:pt>
                <c:pt idx="2">
                  <c:v>OS2</c:v>
                </c:pt>
                <c:pt idx="3">
                  <c:v>Grand South </c:v>
                </c:pt>
                <c:pt idx="4">
                  <c:v>Kars Park</c:v>
                </c:pt>
                <c:pt idx="5">
                  <c:v>OS1</c:v>
                </c:pt>
              </c:strCache>
            </c:strRef>
          </c:cat>
          <c:val>
            <c:numRef>
              <c:f>'Cell Count'!$O$40:$T$40</c:f>
              <c:numCache>
                <c:formatCode>General</c:formatCode>
                <c:ptCount val="6"/>
                <c:pt idx="0">
                  <c:v>1065908291.2268565</c:v>
                </c:pt>
                <c:pt idx="1">
                  <c:v>30179405235.334423</c:v>
                </c:pt>
                <c:pt idx="2">
                  <c:v>3658769582.6111326</c:v>
                </c:pt>
                <c:pt idx="3">
                  <c:v>1793898192.0908592</c:v>
                </c:pt>
                <c:pt idx="4">
                  <c:v>6956000025.2417564</c:v>
                </c:pt>
                <c:pt idx="5">
                  <c:v>2650674482.0334177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3-4D94-B834-C25C22E5AC1A}"/>
            </c:ext>
          </c:extLst>
        </c:ser>
        <c:ser>
          <c:idx val="1"/>
          <c:order val="1"/>
          <c:tx>
            <c:v>8/3/2022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'Cell Count'!$O$39:$T$39</c:f>
              <c:strCache>
                <c:ptCount val="6"/>
                <c:pt idx="0">
                  <c:v>Barge Junction</c:v>
                </c:pt>
                <c:pt idx="1">
                  <c:v>Sykes Creek</c:v>
                </c:pt>
                <c:pt idx="2">
                  <c:v>OS2</c:v>
                </c:pt>
                <c:pt idx="3">
                  <c:v>Grand South </c:v>
                </c:pt>
                <c:pt idx="4">
                  <c:v>Kars Park</c:v>
                </c:pt>
                <c:pt idx="5">
                  <c:v>OS1</c:v>
                </c:pt>
              </c:strCache>
            </c:strRef>
          </c:cat>
          <c:val>
            <c:numRef>
              <c:f>'Cell Count'!$O$42:$T$42</c:f>
              <c:numCache>
                <c:formatCode>General</c:formatCode>
                <c:ptCount val="6"/>
                <c:pt idx="0">
                  <c:v>1014407716.6015364</c:v>
                </c:pt>
                <c:pt idx="1">
                  <c:v>13164350541.355188</c:v>
                </c:pt>
                <c:pt idx="2">
                  <c:v>14689879834.446617</c:v>
                </c:pt>
                <c:pt idx="3">
                  <c:v>35991550341.403343</c:v>
                </c:pt>
                <c:pt idx="4">
                  <c:v>3151868299.3693657</c:v>
                </c:pt>
                <c:pt idx="5">
                  <c:v>6575334920.4394131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3-4D94-B834-C25C22E5A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738528"/>
        <c:axId val="974743808"/>
      </c:barChart>
      <c:catAx>
        <c:axId val="9747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43808"/>
        <c:crosses val="autoZero"/>
        <c:auto val="1"/>
        <c:lblAlgn val="ctr"/>
        <c:lblOffset val="100"/>
        <c:noMultiLvlLbl val="0"/>
      </c:catAx>
      <c:valAx>
        <c:axId val="9747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BVum3/L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73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Barge</a:t>
            </a:r>
            <a:r>
              <a:rPr lang="en-US" baseline="0"/>
              <a:t> Junction</a:t>
            </a:r>
            <a:r>
              <a:rPr lang="en-US"/>
              <a:t>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2D-46EA-965B-5386A447D229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2D-46EA-965B-5386A447D22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2D-46EA-965B-5386A447D229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2D-46EA-965B-5386A447D229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2D-46EA-965B-5386A447D229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2D-46EA-965B-5386A447D229}"/>
              </c:ext>
            </c:extLst>
          </c:dPt>
          <c:dLbls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Count'!$H$9:$H$14</c:f>
              <c:strCache>
                <c:ptCount val="6"/>
                <c:pt idx="0">
                  <c:v>Bacillariophyta</c:v>
                </c:pt>
                <c:pt idx="1">
                  <c:v>Miozoa</c:v>
                </c:pt>
                <c:pt idx="2">
                  <c:v>Ochrophyta</c:v>
                </c:pt>
                <c:pt idx="3">
                  <c:v>Cryptophyta</c:v>
                </c:pt>
                <c:pt idx="4">
                  <c:v>Cyanobacteria</c:v>
                </c:pt>
                <c:pt idx="5">
                  <c:v>Chlorophyta</c:v>
                </c:pt>
              </c:strCache>
            </c:strRef>
          </c:cat>
          <c:val>
            <c:numRef>
              <c:f>'Cell Count'!$I$9:$I$14</c:f>
              <c:numCache>
                <c:formatCode>0.00</c:formatCode>
                <c:ptCount val="6"/>
                <c:pt idx="0">
                  <c:v>621727755.66877306</c:v>
                </c:pt>
                <c:pt idx="1">
                  <c:v>143704757.57413894</c:v>
                </c:pt>
                <c:pt idx="2">
                  <c:v>113855812.17020723</c:v>
                </c:pt>
                <c:pt idx="3">
                  <c:v>80287750.958862245</c:v>
                </c:pt>
                <c:pt idx="4">
                  <c:v>59774152.50220824</c:v>
                </c:pt>
                <c:pt idx="5">
                  <c:v>46558062.35266684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2D-46EA-965B-5386A447D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8/1/22 Sykes Creek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51-4FD3-BBFA-0C72A4E273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51-4FD3-BBFA-0C72A4E2736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251-4FD3-BBFA-0C72A4E2736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251-4FD3-BBFA-0C72A4E27364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251-4FD3-BBFA-0C72A4E27364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251-4FD3-BBFA-0C72A4E27364}"/>
              </c:ext>
            </c:extLst>
          </c:dPt>
          <c:dLbls>
            <c:dLbl>
              <c:idx val="1"/>
              <c:layout>
                <c:manualLayout>
                  <c:x val="-8.5043597531969176E-2"/>
                  <c:y val="6.02117019035361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51-4FD3-BBFA-0C72A4E27364}"/>
                </c:ext>
              </c:extLst>
            </c:dLbl>
            <c:dLbl>
              <c:idx val="2"/>
              <c:layout>
                <c:manualLayout>
                  <c:x val="3.2339167480064414E-3"/>
                  <c:y val="-2.68265007757587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251-4FD3-BBFA-0C72A4E27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251-4FD3-BBFA-0C72A4E273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51-4FD3-BBFA-0C72A4E27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51-4FD3-BBFA-0C72A4E27364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Count'!$H$27:$H$32</c:f>
              <c:strCache>
                <c:ptCount val="6"/>
                <c:pt idx="0">
                  <c:v>Miozoa</c:v>
                </c:pt>
                <c:pt idx="1">
                  <c:v>Bacillariophyta</c:v>
                </c:pt>
                <c:pt idx="2">
                  <c:v>Cyanobacteria</c:v>
                </c:pt>
                <c:pt idx="3">
                  <c:v>Cryptophyta</c:v>
                </c:pt>
                <c:pt idx="4">
                  <c:v>Ochrophyta</c:v>
                </c:pt>
                <c:pt idx="5">
                  <c:v>Chlorophyta</c:v>
                </c:pt>
              </c:strCache>
            </c:strRef>
          </c:cat>
          <c:val>
            <c:numRef>
              <c:f>'Cell Count'!$I$27:$I$32</c:f>
              <c:numCache>
                <c:formatCode>0.00</c:formatCode>
                <c:ptCount val="6"/>
                <c:pt idx="0">
                  <c:v>26168650649.205948</c:v>
                </c:pt>
                <c:pt idx="1">
                  <c:v>2306250609.6508069</c:v>
                </c:pt>
                <c:pt idx="2">
                  <c:v>1656609331.7411463</c:v>
                </c:pt>
                <c:pt idx="3">
                  <c:v>25478523.255135868</c:v>
                </c:pt>
                <c:pt idx="4">
                  <c:v>19786245.572312843</c:v>
                </c:pt>
                <c:pt idx="5">
                  <c:v>2629875.9090739125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51-4FD3-BBFA-0C72A4E27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Sykes Creek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8-4F48-BEDD-6A49359D96B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8-4F48-BEDD-6A49359D96BE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48-4F48-BEDD-6A49359D96B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48-4F48-BEDD-6A49359D96BE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48-4F48-BEDD-6A49359D96BE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48-4F48-BEDD-6A49359D96BE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48-4F48-BEDD-6A49359D96BE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48-4F48-BEDD-6A49359D96BE}"/>
                </c:ext>
              </c:extLst>
            </c:dLbl>
            <c:dLbl>
              <c:idx val="1"/>
              <c:layout>
                <c:manualLayout>
                  <c:x val="-7.7854937999711021E-2"/>
                  <c:y val="1.63691609228183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48-4F48-BEDD-6A49359D96B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48-4F48-BEDD-6A49359D96B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E48-4F48-BEDD-6A49359D96B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E48-4F48-BEDD-6A49359D96B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48-4F48-BEDD-6A49359D96B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48-4F48-BEDD-6A49359D96BE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Count'!$I$50:$I$56</c:f>
              <c:strCache>
                <c:ptCount val="7"/>
                <c:pt idx="0">
                  <c:v>Miozoa</c:v>
                </c:pt>
                <c:pt idx="1">
                  <c:v>Cyanobacteria</c:v>
                </c:pt>
                <c:pt idx="2">
                  <c:v>Ochrophyta</c:v>
                </c:pt>
                <c:pt idx="3">
                  <c:v>Cryptophyta</c:v>
                </c:pt>
                <c:pt idx="4">
                  <c:v>Bacillariophyta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Count'!$J$50:$J$56</c:f>
              <c:numCache>
                <c:formatCode>General</c:formatCode>
                <c:ptCount val="7"/>
                <c:pt idx="0">
                  <c:v>12737399356.691914</c:v>
                </c:pt>
                <c:pt idx="1">
                  <c:v>362398847.19567573</c:v>
                </c:pt>
                <c:pt idx="2">
                  <c:v>17512862.045229796</c:v>
                </c:pt>
                <c:pt idx="3">
                  <c:v>15065887.120013466</c:v>
                </c:pt>
                <c:pt idx="4">
                  <c:v>13998729.486764906</c:v>
                </c:pt>
                <c:pt idx="5">
                  <c:v>12751136.035490498</c:v>
                </c:pt>
                <c:pt idx="6">
                  <c:v>5223722.7801010562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E48-4F48-BEDD-6A49359D9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Off Shore 2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90-4C34-B4DB-BB62C40C7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90-4C34-B4DB-BB62C40C7FC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90-4C34-B4DB-BB62C40C7FC8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490-4C34-B4DB-BB62C40C7FC8}"/>
              </c:ext>
            </c:extLst>
          </c:dPt>
          <c:dPt>
            <c:idx val="4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490-4C34-B4DB-BB62C40C7FC8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490-4C34-B4DB-BB62C40C7FC8}"/>
              </c:ext>
            </c:extLst>
          </c:dPt>
          <c:dPt>
            <c:idx val="6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490-4C34-B4DB-BB62C40C7FC8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90-4C34-B4DB-BB62C40C7F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90-4C34-B4DB-BB62C40C7FC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90-4C34-B4DB-BB62C40C7FC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90-4C34-B4DB-BB62C40C7FC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490-4C34-B4DB-BB62C40C7FC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90-4C34-B4DB-BB62C40C7FC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90-4C34-B4DB-BB62C40C7FC8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Count'!$J$67:$J$73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Cryptophyta</c:v>
                </c:pt>
                <c:pt idx="3">
                  <c:v>Ochrophyta</c:v>
                </c:pt>
                <c:pt idx="4">
                  <c:v>Haptophyta</c:v>
                </c:pt>
                <c:pt idx="5">
                  <c:v>Chlorophyta</c:v>
                </c:pt>
                <c:pt idx="6">
                  <c:v>Cyanobacteria</c:v>
                </c:pt>
              </c:strCache>
            </c:strRef>
          </c:cat>
          <c:val>
            <c:numRef>
              <c:f>'Cell Count'!$K$67:$K$73</c:f>
              <c:numCache>
                <c:formatCode>General</c:formatCode>
                <c:ptCount val="7"/>
                <c:pt idx="0">
                  <c:v>14667505391.744059</c:v>
                </c:pt>
                <c:pt idx="1">
                  <c:v>8021646.6614060253</c:v>
                </c:pt>
                <c:pt idx="2">
                  <c:v>5506352.0262552053</c:v>
                </c:pt>
                <c:pt idx="3">
                  <c:v>5483167.2271540919</c:v>
                </c:pt>
                <c:pt idx="4">
                  <c:v>1434502.8039926807</c:v>
                </c:pt>
                <c:pt idx="5">
                  <c:v>1087910.8255735592</c:v>
                </c:pt>
                <c:pt idx="6">
                  <c:v>840863.15817711025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490-4C34-B4DB-BB62C40C7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Off Shore 2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26-4382-B436-2A564A849BE0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26-4382-B436-2A564A849BE0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26-4382-B436-2A564A849BE0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26-4382-B436-2A564A849B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26-4382-B436-2A564A849B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26-4382-B436-2A564A849B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726-4382-B436-2A564A849BE0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26-4382-B436-2A564A849BE0}"/>
                </c:ext>
              </c:extLst>
            </c:dLbl>
            <c:dLbl>
              <c:idx val="1"/>
              <c:layout>
                <c:manualLayout>
                  <c:x val="-5.2682186413145003E-2"/>
                  <c:y val="-2.0325550798248326E-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26-4382-B436-2A564A849BE0}"/>
                </c:ext>
              </c:extLst>
            </c:dLbl>
            <c:dLbl>
              <c:idx val="2"/>
              <c:layout>
                <c:manualLayout>
                  <c:x val="6.4307020356673392E-2"/>
                  <c:y val="-1.1127755120345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26-4382-B436-2A564A849B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26-4382-B436-2A564A849B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26-4382-B436-2A564A849BE0}"/>
                </c:ext>
              </c:extLst>
            </c:dLbl>
            <c:dLbl>
              <c:idx val="6"/>
              <c:layout>
                <c:manualLayout>
                  <c:x val="-8.589895828238861E-2"/>
                  <c:y val="-4.43804094967484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26-4382-B436-2A564A849BE0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Count'!$I$97:$I$101</c:f>
              <c:strCache>
                <c:ptCount val="5"/>
                <c:pt idx="0">
                  <c:v>Miozoa</c:v>
                </c:pt>
                <c:pt idx="1">
                  <c:v>Ochrophyta</c:v>
                </c:pt>
                <c:pt idx="2">
                  <c:v>Cyanobacteria</c:v>
                </c:pt>
                <c:pt idx="3">
                  <c:v>Haptophyta</c:v>
                </c:pt>
                <c:pt idx="4">
                  <c:v>Chlorophyta</c:v>
                </c:pt>
              </c:strCache>
            </c:strRef>
          </c:cat>
          <c:val>
            <c:numRef>
              <c:f>'Cell Count'!$J$97:$J$101</c:f>
              <c:numCache>
                <c:formatCode>General</c:formatCode>
                <c:ptCount val="5"/>
                <c:pt idx="0">
                  <c:v>3440566602.2100015</c:v>
                </c:pt>
                <c:pt idx="1">
                  <c:v>189468629.52444977</c:v>
                </c:pt>
                <c:pt idx="2">
                  <c:v>17631261.350585222</c:v>
                </c:pt>
                <c:pt idx="3">
                  <c:v>5977095.0166361695</c:v>
                </c:pt>
                <c:pt idx="4">
                  <c:v>5125994.5094600655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726-4382-B436-2A564A849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59842519685048"/>
          <c:y val="0.39865764011970828"/>
          <c:w val="0.24918663855542647"/>
          <c:h val="0.41513205683237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Off Barge Junction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44-431A-A468-08B26F8125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44-431A-A468-08B26F812546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44-431A-A468-08B26F812546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44-431A-A468-08B26F812546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44-431A-A468-08B26F812546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44-431A-A468-08B26F81254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44-431A-A468-08B26F812546}"/>
              </c:ext>
            </c:extLst>
          </c:dPt>
          <c:dLbls>
            <c:dLbl>
              <c:idx val="0"/>
              <c:layout>
                <c:manualLayout>
                  <c:x val="-9.0506251935899312E-2"/>
                  <c:y val="-0.1167028191043771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44-431A-A468-08B26F812546}"/>
                </c:ext>
              </c:extLst>
            </c:dLbl>
            <c:dLbl>
              <c:idx val="1"/>
              <c:layout>
                <c:manualLayout>
                  <c:x val="9.8261065192937813E-2"/>
                  <c:y val="-5.3650028396652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44-431A-A468-08B26F812546}"/>
                </c:ext>
              </c:extLst>
            </c:dLbl>
            <c:dLbl>
              <c:idx val="2"/>
              <c:layout>
                <c:manualLayout>
                  <c:x val="9.3167571444873712E-2"/>
                  <c:y val="5.443863027297018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44-431A-A468-08B26F812546}"/>
                </c:ext>
              </c:extLst>
            </c:dLbl>
            <c:dLbl>
              <c:idx val="3"/>
              <c:layout>
                <c:manualLayout>
                  <c:x val="5.8904810811692014E-2"/>
                  <c:y val="0.1071546903804540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44-431A-A468-08B26F812546}"/>
                </c:ext>
              </c:extLst>
            </c:dLbl>
            <c:dLbl>
              <c:idx val="4"/>
              <c:layout>
                <c:manualLayout>
                  <c:x val="-1.8650233938149036E-2"/>
                  <c:y val="-3.381231493611517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44-431A-A468-08B26F812546}"/>
                </c:ext>
              </c:extLst>
            </c:dLbl>
            <c:dLbl>
              <c:idx val="5"/>
              <c:layout>
                <c:manualLayout>
                  <c:x val="3.3955734621123938E-2"/>
                  <c:y val="-1.9797086477475578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44-431A-A468-08B26F812546}"/>
                </c:ext>
              </c:extLst>
            </c:dLbl>
            <c:dLbl>
              <c:idx val="6"/>
              <c:layout>
                <c:manualLayout>
                  <c:x val="-8.589895828238861E-2"/>
                  <c:y val="-4.43804094967484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44-431A-A468-08B26F812546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Count'!$I$80:$I$85</c:f>
              <c:strCache>
                <c:ptCount val="6"/>
                <c:pt idx="0">
                  <c:v>Cryptophyta</c:v>
                </c:pt>
                <c:pt idx="1">
                  <c:v>Miozoa</c:v>
                </c:pt>
                <c:pt idx="2">
                  <c:v>Ochrophyta</c:v>
                </c:pt>
                <c:pt idx="3">
                  <c:v>Haptophyta</c:v>
                </c:pt>
                <c:pt idx="4">
                  <c:v>Cyanobacteria</c:v>
                </c:pt>
                <c:pt idx="5">
                  <c:v>Chlorophyta</c:v>
                </c:pt>
              </c:strCache>
            </c:strRef>
          </c:cat>
          <c:val>
            <c:numRef>
              <c:f>'Cell Count'!$J$80:$J$85</c:f>
              <c:numCache>
                <c:formatCode>General</c:formatCode>
                <c:ptCount val="6"/>
                <c:pt idx="0">
                  <c:v>629672684.43322849</c:v>
                </c:pt>
                <c:pt idx="1">
                  <c:v>137357797.4479478</c:v>
                </c:pt>
                <c:pt idx="2">
                  <c:v>122281946.56432188</c:v>
                </c:pt>
                <c:pt idx="3">
                  <c:v>71725140.19963403</c:v>
                </c:pt>
                <c:pt idx="4">
                  <c:v>32569774.360798284</c:v>
                </c:pt>
                <c:pt idx="5">
                  <c:v>20800373.595605865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44-431A-A468-08B26F81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Kars Park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AE-46CE-BB94-06517DB999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AE-46CE-BB94-06517DB999BF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AE-46CE-BB94-06517DB999BF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AE-46CE-BB94-06517DB999BF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AE-46CE-BB94-06517DB999BF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AE-46CE-BB94-06517DB999BF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2AE-46CE-BB94-06517DB999BF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AE-46CE-BB94-06517DB999BF}"/>
                </c:ext>
              </c:extLst>
            </c:dLbl>
            <c:dLbl>
              <c:idx val="1"/>
              <c:layout>
                <c:manualLayout>
                  <c:x val="-0.11980952397732118"/>
                  <c:y val="6.14402685295625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AE-46CE-BB94-06517DB999BF}"/>
                </c:ext>
              </c:extLst>
            </c:dLbl>
            <c:dLbl>
              <c:idx val="2"/>
              <c:layout>
                <c:manualLayout>
                  <c:x val="-6.9947654771678983E-2"/>
                  <c:y val="-7.0303821816542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AE-46CE-BB94-06517DB999BF}"/>
                </c:ext>
              </c:extLst>
            </c:dLbl>
            <c:dLbl>
              <c:idx val="3"/>
              <c:layout>
                <c:manualLayout>
                  <c:x val="3.2122897645786179E-2"/>
                  <c:y val="-1.673663925728501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AE-46CE-BB94-06517DB999BF}"/>
                </c:ext>
              </c:extLst>
            </c:dLbl>
            <c:dLbl>
              <c:idx val="4"/>
              <c:layout>
                <c:manualLayout>
                  <c:x val="0.13927733280712079"/>
                  <c:y val="-4.645517554662020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AE-46CE-BB94-06517DB999B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2AE-46CE-BB94-06517DB999B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2AE-46CE-BB94-06517DB999BF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Count'!$H$125:$H$131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Haptophyta</c:v>
                </c:pt>
                <c:pt idx="4">
                  <c:v>Cyanobacteria</c:v>
                </c:pt>
                <c:pt idx="5">
                  <c:v>Chlorophyta</c:v>
                </c:pt>
                <c:pt idx="6">
                  <c:v>Cryptophyta</c:v>
                </c:pt>
              </c:strCache>
            </c:strRef>
          </c:cat>
          <c:val>
            <c:numRef>
              <c:f>'Cell Count'!$I$125:$I$131</c:f>
              <c:numCache>
                <c:formatCode>General</c:formatCode>
                <c:ptCount val="7"/>
                <c:pt idx="0">
                  <c:v>2951198741.6195369</c:v>
                </c:pt>
                <c:pt idx="1">
                  <c:v>112417003.86740963</c:v>
                </c:pt>
                <c:pt idx="2">
                  <c:v>27520211.785361111</c:v>
                </c:pt>
                <c:pt idx="3">
                  <c:v>27096164.07541731</c:v>
                </c:pt>
                <c:pt idx="4">
                  <c:v>19362044.868215691</c:v>
                </c:pt>
                <c:pt idx="5">
                  <c:v>8029530.301068671</c:v>
                </c:pt>
                <c:pt idx="6">
                  <c:v>6244602.8523559542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2AE-46CE-BB94-06517DB9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OS1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34-47BB-8552-B072728BCC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34-47BB-8552-B072728BCCD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34-47BB-8552-B072728BCCD3}"/>
              </c:ext>
            </c:extLst>
          </c:dPt>
          <c:dPt>
            <c:idx val="3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34-47BB-8552-B072728BCCD3}"/>
              </c:ext>
            </c:extLst>
          </c:dPt>
          <c:dPt>
            <c:idx val="4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34-47BB-8552-B072728BCCD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34-47BB-8552-B072728BCCD3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F34-47BB-8552-B072728BCCD3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34-47BB-8552-B072728BCCD3}"/>
                </c:ext>
              </c:extLst>
            </c:dLbl>
            <c:dLbl>
              <c:idx val="1"/>
              <c:layout>
                <c:manualLayout>
                  <c:x val="-0.10582466198478449"/>
                  <c:y val="-2.460456318294253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34-47BB-8552-B072728BCCD3}"/>
                </c:ext>
              </c:extLst>
            </c:dLbl>
            <c:dLbl>
              <c:idx val="2"/>
              <c:layout>
                <c:manualLayout>
                  <c:x val="2.7736275895118749E-3"/>
                  <c:y val="-2.751724687510787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34-47BB-8552-B072728BCCD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34-47BB-8552-B072728BCCD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34-47BB-8552-B072728BCCD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34-47BB-8552-B072728BCCD3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34-47BB-8552-B072728BCCD3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Count'!$J$144:$J$150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Cryptophyta</c:v>
                </c:pt>
                <c:pt idx="3">
                  <c:v>Haptophyta</c:v>
                </c:pt>
                <c:pt idx="4">
                  <c:v>Ochrophyta</c:v>
                </c:pt>
                <c:pt idx="5">
                  <c:v>Cyanobacteria</c:v>
                </c:pt>
                <c:pt idx="6">
                  <c:v>Chlorophyta</c:v>
                </c:pt>
              </c:strCache>
            </c:strRef>
          </c:cat>
          <c:val>
            <c:numRef>
              <c:f>'Cell Count'!$K$144:$K$150</c:f>
              <c:numCache>
                <c:formatCode>General</c:formatCode>
                <c:ptCount val="7"/>
                <c:pt idx="0">
                  <c:v>6343513283.429287</c:v>
                </c:pt>
                <c:pt idx="1">
                  <c:v>160575339.37645534</c:v>
                </c:pt>
                <c:pt idx="2">
                  <c:v>43467599.567832418</c:v>
                </c:pt>
                <c:pt idx="3">
                  <c:v>11476022.431941446</c:v>
                </c:pt>
                <c:pt idx="4">
                  <c:v>9757165.9966280274</c:v>
                </c:pt>
                <c:pt idx="5">
                  <c:v>5244338.3082377203</c:v>
                </c:pt>
                <c:pt idx="6">
                  <c:v>1301171.3290317196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34-47BB-8552-B072728B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1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Kars Park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45-4319-B1D1-E47E27129689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45-4319-B1D1-E47E27129689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45-4319-B1D1-E47E27129689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45-4319-B1D1-E47E2712968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45-4319-B1D1-E47E27129689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45-4319-B1D1-E47E27129689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45-4319-B1D1-E47E2712968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45-4319-B1D1-E47E27129689}"/>
                </c:ext>
              </c:extLst>
            </c:dLbl>
            <c:dLbl>
              <c:idx val="1"/>
              <c:layout>
                <c:manualLayout>
                  <c:x val="-0.13938833076687257"/>
                  <c:y val="3.685603089741821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45-4319-B1D1-E47E27129689}"/>
                </c:ext>
              </c:extLst>
            </c:dLbl>
            <c:dLbl>
              <c:idx val="2"/>
              <c:layout>
                <c:manualLayout>
                  <c:x val="-3.918095838809825E-2"/>
                  <c:y val="-7.03038218165428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45-4319-B1D1-E47E27129689}"/>
                </c:ext>
              </c:extLst>
            </c:dLbl>
            <c:dLbl>
              <c:idx val="3"/>
              <c:layout>
                <c:manualLayout>
                  <c:x val="8.5265373217425569E-2"/>
                  <c:y val="-3.4714750252214273E-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45-4319-B1D1-E47E2712968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845-4319-B1D1-E47E2712968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845-4319-B1D1-E47E2712968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845-4319-B1D1-E47E2712968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Count'!$I$161:$I$167</c:f>
              <c:strCache>
                <c:ptCount val="7"/>
                <c:pt idx="0">
                  <c:v>Miozoa</c:v>
                </c:pt>
                <c:pt idx="1">
                  <c:v>Ochrophyta</c:v>
                </c:pt>
                <c:pt idx="2">
                  <c:v>Bacillariophyta</c:v>
                </c:pt>
                <c:pt idx="3">
                  <c:v>Cyanobacteria</c:v>
                </c:pt>
                <c:pt idx="4">
                  <c:v>Cryptophyta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Count'!$J$161:$J$167</c:f>
              <c:numCache>
                <c:formatCode>General</c:formatCode>
                <c:ptCount val="7"/>
                <c:pt idx="0">
                  <c:v>6603046403.0132427</c:v>
                </c:pt>
                <c:pt idx="1">
                  <c:v>190311877.61410379</c:v>
                </c:pt>
                <c:pt idx="2">
                  <c:v>113163039.62200676</c:v>
                </c:pt>
                <c:pt idx="3">
                  <c:v>21938496.003149115</c:v>
                </c:pt>
                <c:pt idx="4">
                  <c:v>20544391.527291086</c:v>
                </c:pt>
                <c:pt idx="5">
                  <c:v>4346978.1939172149</c:v>
                </c:pt>
                <c:pt idx="6">
                  <c:v>2648839.2680463502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845-4319-B1D1-E47E27129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8/3/22 Grand South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5-47B0-9E0F-B4E6169158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5-47B0-9E0F-B4E616915879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5-47B0-9E0F-B4E616915879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5-47B0-9E0F-B4E616915879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65-47B0-9E0F-B4E616915879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65-47B0-9E0F-B4E616915879}"/>
              </c:ext>
            </c:extLst>
          </c:dPt>
          <c:dPt>
            <c:idx val="6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65-47B0-9E0F-B4E61691587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65-47B0-9E0F-B4E61691587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65-47B0-9E0F-B4E6169158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65-47B0-9E0F-B4E61691587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165-47B0-9E0F-B4E61691587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165-47B0-9E0F-B4E61691587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165-47B0-9E0F-B4E61691587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165-47B0-9E0F-B4E61691587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Count'!$I$176:$I$182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Chlorophyta</c:v>
                </c:pt>
                <c:pt idx="4">
                  <c:v>Cyanobacteria</c:v>
                </c:pt>
                <c:pt idx="5">
                  <c:v>Haptophyta</c:v>
                </c:pt>
                <c:pt idx="6">
                  <c:v>Cryptophyta</c:v>
                </c:pt>
              </c:strCache>
            </c:strRef>
          </c:cat>
          <c:val>
            <c:numRef>
              <c:f>'Cell Count'!$J$176:$J$182</c:f>
              <c:numCache>
                <c:formatCode>General</c:formatCode>
                <c:ptCount val="7"/>
                <c:pt idx="0">
                  <c:v>35861729504.957695</c:v>
                </c:pt>
                <c:pt idx="1">
                  <c:v>56256835.990839921</c:v>
                </c:pt>
                <c:pt idx="2">
                  <c:v>22606723.861458316</c:v>
                </c:pt>
                <c:pt idx="3">
                  <c:v>17357375.596416522</c:v>
                </c:pt>
                <c:pt idx="4">
                  <c:v>15487491.855617084</c:v>
                </c:pt>
                <c:pt idx="5">
                  <c:v>9418452.7534873001</c:v>
                </c:pt>
                <c:pt idx="6">
                  <c:v>8693956.3878344316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165-47B0-9E0F-B4E616915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OS1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D-4686-9E81-2A14970F3C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6D-4686-9E81-2A14970F3CDB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6D-4686-9E81-2A14970F3CDB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6D-4686-9E81-2A14970F3CDB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6D-4686-9E81-2A14970F3CDB}"/>
              </c:ext>
            </c:extLst>
          </c:dPt>
          <c:dPt>
            <c:idx val="5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6D-4686-9E81-2A14970F3CDB}"/>
              </c:ext>
            </c:extLst>
          </c:dPt>
          <c:dPt>
            <c:idx val="6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6D-4686-9E81-2A14970F3CDB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F6D-4686-9E81-2A14970F3CDB}"/>
                </c:ext>
              </c:extLst>
            </c:dLbl>
            <c:dLbl>
              <c:idx val="1"/>
              <c:layout>
                <c:manualLayout>
                  <c:x val="-9.1839799992247756E-2"/>
                  <c:y val="4.077047387892488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6D-4686-9E81-2A14970F3CDB}"/>
                </c:ext>
              </c:extLst>
            </c:dLbl>
            <c:dLbl>
              <c:idx val="2"/>
              <c:layout>
                <c:manualLayout>
                  <c:x val="8.3675723865265575E-3"/>
                  <c:y val="-1.1127755120345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6D-4686-9E81-2A14970F3CDB}"/>
                </c:ext>
              </c:extLst>
            </c:dLbl>
            <c:dLbl>
              <c:idx val="3"/>
              <c:layout>
                <c:manualLayout>
                  <c:x val="0.13840784878906512"/>
                  <c:y val="-8.5418933799035982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6D-4686-9E81-2A14970F3CD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F6D-4686-9E81-2A14970F3CD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F6D-4686-9E81-2A14970F3CD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F6D-4686-9E81-2A14970F3CDB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Count'!$J$200:$J$206</c:f>
              <c:strCache>
                <c:ptCount val="7"/>
                <c:pt idx="0">
                  <c:v>Miozoa</c:v>
                </c:pt>
                <c:pt idx="1">
                  <c:v>Bacillariophyta</c:v>
                </c:pt>
                <c:pt idx="2">
                  <c:v>Ochrophyta</c:v>
                </c:pt>
                <c:pt idx="3">
                  <c:v>Cryptophyta</c:v>
                </c:pt>
                <c:pt idx="4">
                  <c:v>Cyanobacteria</c:v>
                </c:pt>
                <c:pt idx="5">
                  <c:v>Haptophyta</c:v>
                </c:pt>
                <c:pt idx="6">
                  <c:v>Chlorophyta</c:v>
                </c:pt>
              </c:strCache>
            </c:strRef>
          </c:cat>
          <c:val>
            <c:numRef>
              <c:f>'Cell Count'!$K$200:$K$206</c:f>
              <c:numCache>
                <c:formatCode>General</c:formatCode>
                <c:ptCount val="7"/>
                <c:pt idx="0">
                  <c:v>2546763257.1407585</c:v>
                </c:pt>
                <c:pt idx="1">
                  <c:v>51222598.367347226</c:v>
                </c:pt>
                <c:pt idx="2">
                  <c:v>36815912.801943347</c:v>
                </c:pt>
                <c:pt idx="3">
                  <c:v>8951716.0693866983</c:v>
                </c:pt>
                <c:pt idx="4">
                  <c:v>4567023.1002956377</c:v>
                </c:pt>
                <c:pt idx="5">
                  <c:v>1434502.8039926807</c:v>
                </c:pt>
                <c:pt idx="6">
                  <c:v>919471.74969360861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6D-4686-9E81-2A14970F3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8/1/22 Grand South Sum of Total BVum3/L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2E-4418-B5BD-BCE6F635ABB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2E-4418-B5BD-BCE6F635ABB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2E-4418-B5BD-BCE6F635ABB9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02E-4418-B5BD-BCE6F635ABB9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02E-4418-B5BD-BCE6F635ABB9}"/>
              </c:ext>
            </c:extLst>
          </c:dPt>
          <c:dPt>
            <c:idx val="5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02E-4418-B5BD-BCE6F635AB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02E-4418-B5BD-BCE6F635ABB9}"/>
              </c:ext>
            </c:extLst>
          </c:dPt>
          <c:dLbls>
            <c:dLbl>
              <c:idx val="0"/>
              <c:layout>
                <c:manualLayout>
                  <c:x val="0.11487677083842775"/>
                  <c:y val="-4.18587605963602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2E-4418-B5BD-BCE6F635ABB9}"/>
                </c:ext>
              </c:extLst>
            </c:dLbl>
            <c:dLbl>
              <c:idx val="1"/>
              <c:layout>
                <c:manualLayout>
                  <c:x val="-0.14777924796239458"/>
                  <c:y val="6.144026852956254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2E-4418-B5BD-BCE6F635ABB9}"/>
                </c:ext>
              </c:extLst>
            </c:dLbl>
            <c:dLbl>
              <c:idx val="2"/>
              <c:layout>
                <c:manualLayout>
                  <c:x val="-0.1063082959522744"/>
                  <c:y val="-2.341987393641718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2E-4418-B5BD-BCE6F635ABB9}"/>
                </c:ext>
              </c:extLst>
            </c:dLbl>
            <c:dLbl>
              <c:idx val="3"/>
              <c:layout>
                <c:manualLayout>
                  <c:x val="1.534106325474208E-2"/>
                  <c:y val="-2.493138513466647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02E-4418-B5BD-BCE6F635ABB9}"/>
                </c:ext>
              </c:extLst>
            </c:dLbl>
            <c:dLbl>
              <c:idx val="4"/>
              <c:layout>
                <c:manualLayout>
                  <c:x val="0.13088641561159869"/>
                  <c:y val="-2.103500930942489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02E-4418-B5BD-BCE6F635ABB9}"/>
                </c:ext>
              </c:extLst>
            </c:dLbl>
            <c:dLbl>
              <c:idx val="5"/>
              <c:layout>
                <c:manualLayout>
                  <c:x val="0.23144175778483309"/>
                  <c:y val="3.187788409080423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02E-4418-B5BD-BCE6F635ABB9}"/>
                </c:ext>
              </c:extLst>
            </c:dLbl>
            <c:dLbl>
              <c:idx val="6"/>
              <c:layout>
                <c:manualLayout>
                  <c:x val="-8.589895828238861E-2"/>
                  <c:y val="-4.43804094967484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02E-4418-B5BD-BCE6F635ABB9}"/>
                </c:ext>
              </c:extLst>
            </c:dLbl>
            <c:numFmt formatCode="0.00%" sourceLinked="0"/>
            <c:spPr>
              <a:solidFill>
                <a:schemeClr val="lt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'Cell Count'!$I$110:$I$115</c:f>
              <c:strCache>
                <c:ptCount val="6"/>
                <c:pt idx="0">
                  <c:v>Miozoa</c:v>
                </c:pt>
                <c:pt idx="1">
                  <c:v>Cyanobacteria</c:v>
                </c:pt>
                <c:pt idx="2">
                  <c:v>Cryptophyta</c:v>
                </c:pt>
                <c:pt idx="3">
                  <c:v>Ochrophyta</c:v>
                </c:pt>
                <c:pt idx="4">
                  <c:v>Bacillariophyta</c:v>
                </c:pt>
                <c:pt idx="5">
                  <c:v>Chlorophyta</c:v>
                </c:pt>
              </c:strCache>
            </c:strRef>
          </c:cat>
          <c:val>
            <c:numRef>
              <c:f>'Cell Count'!$J$110:$J$115</c:f>
              <c:numCache>
                <c:formatCode>General</c:formatCode>
                <c:ptCount val="6"/>
                <c:pt idx="0">
                  <c:v>1663900497.4618542</c:v>
                </c:pt>
                <c:pt idx="1">
                  <c:v>51663929.806260057</c:v>
                </c:pt>
                <c:pt idx="2">
                  <c:v>33585326.109042734</c:v>
                </c:pt>
                <c:pt idx="3">
                  <c:v>27292772.018539947</c:v>
                </c:pt>
                <c:pt idx="4">
                  <c:v>13040934.581751645</c:v>
                </c:pt>
                <c:pt idx="5">
                  <c:v>4414732.1134105837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02E-4418-B5BD-BCE6F635A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 TC TOC CN'!$A$3</c:f>
              <c:strCache>
                <c:ptCount val="1"/>
                <c:pt idx="0">
                  <c:v>Grand 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CN'!$C$3:$F$3</c:f>
              <c:numCache>
                <c:formatCode>0.0</c:formatCode>
                <c:ptCount val="4"/>
                <c:pt idx="0">
                  <c:v>1.1050618999608068</c:v>
                </c:pt>
                <c:pt idx="1">
                  <c:v>5.58</c:v>
                </c:pt>
                <c:pt idx="2">
                  <c:v>4.4749381000391928</c:v>
                </c:pt>
                <c:pt idx="3">
                  <c:v>9.1325267347738635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66-4092-A4A3-5D0B8B05D02F}"/>
            </c:ext>
          </c:extLst>
        </c:ser>
        <c:ser>
          <c:idx val="1"/>
          <c:order val="1"/>
          <c:tx>
            <c:strRef>
              <c:f>'TIC TC TOC CN'!$A$4</c:f>
              <c:strCache>
                <c:ptCount val="1"/>
                <c:pt idx="0">
                  <c:v>Kars Park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CN'!$C$4:$F$4</c:f>
              <c:numCache>
                <c:formatCode>0.0</c:formatCode>
                <c:ptCount val="4"/>
                <c:pt idx="0">
                  <c:v>1.082900378626549</c:v>
                </c:pt>
                <c:pt idx="1">
                  <c:v>2.2000000000000002</c:v>
                </c:pt>
                <c:pt idx="2">
                  <c:v>1.1170996213734512</c:v>
                </c:pt>
                <c:pt idx="3">
                  <c:v>12.412218015260569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666-4092-A4A3-5D0B8B05D02F}"/>
            </c:ext>
          </c:extLst>
        </c:ser>
        <c:ser>
          <c:idx val="2"/>
          <c:order val="2"/>
          <c:tx>
            <c:strRef>
              <c:f>'TIC TC TOC CN'!$A$5</c:f>
              <c:strCache>
                <c:ptCount val="1"/>
                <c:pt idx="0">
                  <c:v>Offshore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CN'!$C$5:$F$5</c:f>
              <c:numCache>
                <c:formatCode>0.0</c:formatCode>
                <c:ptCount val="4"/>
                <c:pt idx="0">
                  <c:v>4.459303707151693</c:v>
                </c:pt>
                <c:pt idx="1">
                  <c:v>7.35</c:v>
                </c:pt>
                <c:pt idx="2">
                  <c:v>2.8906962928483066</c:v>
                </c:pt>
                <c:pt idx="3">
                  <c:v>12.568244751514376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666-4092-A4A3-5D0B8B05D02F}"/>
            </c:ext>
          </c:extLst>
        </c:ser>
        <c:ser>
          <c:idx val="3"/>
          <c:order val="3"/>
          <c:tx>
            <c:strRef>
              <c:f>'TIC TC TOC CN'!$A$6</c:f>
              <c:strCache>
                <c:ptCount val="1"/>
                <c:pt idx="0">
                  <c:v>Sykes Creek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CN'!$C$6:$F$6</c:f>
              <c:numCache>
                <c:formatCode>0.0</c:formatCode>
                <c:ptCount val="4"/>
                <c:pt idx="0">
                  <c:v>0.79264251362716132</c:v>
                </c:pt>
                <c:pt idx="1">
                  <c:v>1.41</c:v>
                </c:pt>
                <c:pt idx="2">
                  <c:v>0.6173574863728386</c:v>
                </c:pt>
                <c:pt idx="3">
                  <c:v>15.433937159320966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666-4092-A4A3-5D0B8B05D02F}"/>
            </c:ext>
          </c:extLst>
        </c:ser>
        <c:ser>
          <c:idx val="4"/>
          <c:order val="4"/>
          <c:tx>
            <c:strRef>
              <c:f>'TIC TC TOC CN'!$A$7</c:f>
              <c:strCache>
                <c:ptCount val="1"/>
                <c:pt idx="0">
                  <c:v>Offshore 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CN'!$C$7:$F$7</c:f>
              <c:numCache>
                <c:formatCode>0.0</c:formatCode>
                <c:ptCount val="4"/>
                <c:pt idx="0">
                  <c:v>1.7058491513355716</c:v>
                </c:pt>
                <c:pt idx="1">
                  <c:v>2.81</c:v>
                </c:pt>
                <c:pt idx="2">
                  <c:v>1.1041508486644285</c:v>
                </c:pt>
                <c:pt idx="3">
                  <c:v>15.773583552348978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666-4092-A4A3-5D0B8B05D02F}"/>
            </c:ext>
          </c:extLst>
        </c:ser>
        <c:ser>
          <c:idx val="5"/>
          <c:order val="5"/>
          <c:tx>
            <c:strRef>
              <c:f>'TIC TC TOC CN'!$A$8</c:f>
              <c:strCache>
                <c:ptCount val="1"/>
                <c:pt idx="0">
                  <c:v>Barge Junction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A666-4092-A4A3-5D0B8B05D02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A666-4092-A4A3-5D0B8B05D02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A666-4092-A4A3-5D0B8B05D02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4-A666-4092-A4A3-5D0B8B05D02F}"/>
              </c:ext>
            </c:extLst>
          </c:dPt>
          <c:cat>
            <c:strRef>
              <c:f>'TIC TC TOC CN'!$C$1:$F$1</c:f>
              <c:strCache>
                <c:ptCount val="4"/>
                <c:pt idx="0">
                  <c:v>TIC (Wt %)</c:v>
                </c:pt>
                <c:pt idx="1">
                  <c:v>TC (Wt %)</c:v>
                </c:pt>
                <c:pt idx="2">
                  <c:v>TOC (Wt %)</c:v>
                </c:pt>
                <c:pt idx="3">
                  <c:v>C:N (Wt %/Wt %)</c:v>
                </c:pt>
              </c:strCache>
            </c:strRef>
          </c:cat>
          <c:val>
            <c:numRef>
              <c:f>'TIC TC TOC CN'!$C$8:$F$8</c:f>
              <c:numCache>
                <c:formatCode>0.0</c:formatCode>
                <c:ptCount val="4"/>
                <c:pt idx="0">
                  <c:v>0.94970308132222792</c:v>
                </c:pt>
                <c:pt idx="1">
                  <c:v>1.73</c:v>
                </c:pt>
                <c:pt idx="2">
                  <c:v>0.78029691867777207</c:v>
                </c:pt>
                <c:pt idx="3">
                  <c:v>19.507422966944301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666-4092-A4A3-5D0B8B05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46912"/>
        <c:axId val="717251712"/>
      </c:barChart>
      <c:catAx>
        <c:axId val="7172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51712"/>
        <c:crosses val="autoZero"/>
        <c:auto val="1"/>
        <c:lblAlgn val="ctr"/>
        <c:lblOffset val="100"/>
        <c:noMultiLvlLbl val="0"/>
      </c:catAx>
      <c:valAx>
        <c:axId val="7172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(Wt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469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'TIC TC TOC CN'!$A$3</c:f>
              <c:strCache>
                <c:ptCount val="1"/>
                <c:pt idx="0">
                  <c:v>Grand 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CN'!$H$3</c:f>
              <c:numCache>
                <c:formatCode>0.00</c:formatCode>
                <c:ptCount val="1"/>
                <c:pt idx="0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D-407C-926E-7C35340C511E}"/>
            </c:ext>
          </c:extLst>
        </c:ser>
        <c:ser>
          <c:idx val="1"/>
          <c:order val="1"/>
          <c:tx>
            <c:strRef>
              <c:f>'TIC TC TOC CN'!$A$4</c:f>
              <c:strCache>
                <c:ptCount val="1"/>
                <c:pt idx="0">
                  <c:v>Kars Park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CN'!$H$4</c:f>
              <c:numCache>
                <c:formatCode>0.00</c:formatCode>
                <c:ptCount val="1"/>
                <c:pt idx="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4D-407C-926E-7C35340C511E}"/>
            </c:ext>
          </c:extLst>
        </c:ser>
        <c:ser>
          <c:idx val="2"/>
          <c:order val="2"/>
          <c:tx>
            <c:strRef>
              <c:f>'TIC TC TOC CN'!$A$5</c:f>
              <c:strCache>
                <c:ptCount val="1"/>
                <c:pt idx="0">
                  <c:v>Offshore 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CN'!$H$5</c:f>
              <c:numCache>
                <c:formatCode>0.00</c:formatCode>
                <c:ptCount val="1"/>
                <c:pt idx="0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4D-407C-926E-7C35340C511E}"/>
            </c:ext>
          </c:extLst>
        </c:ser>
        <c:ser>
          <c:idx val="3"/>
          <c:order val="3"/>
          <c:tx>
            <c:strRef>
              <c:f>'TIC TC TOC CN'!$A$6</c:f>
              <c:strCache>
                <c:ptCount val="1"/>
                <c:pt idx="0">
                  <c:v>Sykes Creek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CN'!$H$6</c:f>
              <c:numCache>
                <c:formatCode>0.00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4D-407C-926E-7C35340C511E}"/>
            </c:ext>
          </c:extLst>
        </c:ser>
        <c:ser>
          <c:idx val="4"/>
          <c:order val="4"/>
          <c:tx>
            <c:strRef>
              <c:f>'TIC TC TOC CN'!$A$7</c:f>
              <c:strCache>
                <c:ptCount val="1"/>
                <c:pt idx="0">
                  <c:v>Offshore 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CN'!$H$7</c:f>
              <c:numCache>
                <c:formatCode>0.00</c:formatCode>
                <c:ptCount val="1"/>
                <c:pt idx="0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4D-407C-926E-7C35340C511E}"/>
            </c:ext>
          </c:extLst>
        </c:ser>
        <c:ser>
          <c:idx val="5"/>
          <c:order val="5"/>
          <c:tx>
            <c:strRef>
              <c:f>'TIC TC TOC CN'!$A$8</c:f>
              <c:strCache>
                <c:ptCount val="1"/>
                <c:pt idx="0">
                  <c:v>Barge Junction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'TIC TC TOC CN'!$H$1</c:f>
              <c:strCache>
                <c:ptCount val="1"/>
                <c:pt idx="0">
                  <c:v>TN (Wt %)</c:v>
                </c:pt>
              </c:strCache>
            </c:strRef>
          </c:cat>
          <c:val>
            <c:numRef>
              <c:f>'TIC TC TOC CN'!$H$8</c:f>
              <c:numCache>
                <c:formatCode>General</c:formatCode>
                <c:ptCount val="1"/>
                <c:pt idx="0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4D-407C-926E-7C35340C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246912"/>
        <c:axId val="717251712"/>
      </c:barChart>
      <c:catAx>
        <c:axId val="71724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51712"/>
        <c:crosses val="autoZero"/>
        <c:auto val="1"/>
        <c:lblAlgn val="ctr"/>
        <c:lblOffset val="100"/>
        <c:noMultiLvlLbl val="0"/>
      </c:catAx>
      <c:valAx>
        <c:axId val="7172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(Wt 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24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18" Type="http://schemas.openxmlformats.org/officeDocument/2006/relationships/chart" Target="../charts/chart26.xml"/><Relationship Id="rId3" Type="http://schemas.openxmlformats.org/officeDocument/2006/relationships/chart" Target="../charts/chart11.xml"/><Relationship Id="rId21" Type="http://schemas.openxmlformats.org/officeDocument/2006/relationships/chart" Target="../charts/chart29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17" Type="http://schemas.openxmlformats.org/officeDocument/2006/relationships/chart" Target="../charts/chart25.xml"/><Relationship Id="rId2" Type="http://schemas.openxmlformats.org/officeDocument/2006/relationships/chart" Target="../charts/chart10.xml"/><Relationship Id="rId16" Type="http://schemas.openxmlformats.org/officeDocument/2006/relationships/chart" Target="../charts/chart24.xml"/><Relationship Id="rId20" Type="http://schemas.openxmlformats.org/officeDocument/2006/relationships/chart" Target="../charts/chart28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24" Type="http://schemas.openxmlformats.org/officeDocument/2006/relationships/chart" Target="../charts/chart32.xml"/><Relationship Id="rId5" Type="http://schemas.openxmlformats.org/officeDocument/2006/relationships/chart" Target="../charts/chart13.xml"/><Relationship Id="rId15" Type="http://schemas.openxmlformats.org/officeDocument/2006/relationships/chart" Target="../charts/chart23.xml"/><Relationship Id="rId23" Type="http://schemas.openxmlformats.org/officeDocument/2006/relationships/chart" Target="../charts/chart31.xml"/><Relationship Id="rId10" Type="http://schemas.openxmlformats.org/officeDocument/2006/relationships/chart" Target="../charts/chart18.xml"/><Relationship Id="rId19" Type="http://schemas.openxmlformats.org/officeDocument/2006/relationships/chart" Target="../charts/chart27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Relationship Id="rId14" Type="http://schemas.openxmlformats.org/officeDocument/2006/relationships/chart" Target="../charts/chart22.xml"/><Relationship Id="rId22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6.xml"/><Relationship Id="rId13" Type="http://schemas.openxmlformats.org/officeDocument/2006/relationships/chart" Target="../charts/chart51.xml"/><Relationship Id="rId3" Type="http://schemas.openxmlformats.org/officeDocument/2006/relationships/chart" Target="../charts/chart41.xml"/><Relationship Id="rId7" Type="http://schemas.openxmlformats.org/officeDocument/2006/relationships/chart" Target="../charts/chart45.xml"/><Relationship Id="rId12" Type="http://schemas.openxmlformats.org/officeDocument/2006/relationships/chart" Target="../charts/chart50.xml"/><Relationship Id="rId2" Type="http://schemas.openxmlformats.org/officeDocument/2006/relationships/chart" Target="../charts/chart40.xml"/><Relationship Id="rId16" Type="http://schemas.openxmlformats.org/officeDocument/2006/relationships/chart" Target="../charts/chart54.xml"/><Relationship Id="rId1" Type="http://schemas.openxmlformats.org/officeDocument/2006/relationships/chart" Target="../charts/chart39.xml"/><Relationship Id="rId6" Type="http://schemas.openxmlformats.org/officeDocument/2006/relationships/chart" Target="../charts/chart44.xml"/><Relationship Id="rId11" Type="http://schemas.openxmlformats.org/officeDocument/2006/relationships/chart" Target="../charts/chart49.xml"/><Relationship Id="rId5" Type="http://schemas.openxmlformats.org/officeDocument/2006/relationships/chart" Target="../charts/chart43.xml"/><Relationship Id="rId15" Type="http://schemas.openxmlformats.org/officeDocument/2006/relationships/chart" Target="../charts/chart53.xml"/><Relationship Id="rId10" Type="http://schemas.openxmlformats.org/officeDocument/2006/relationships/chart" Target="../charts/chart48.xml"/><Relationship Id="rId4" Type="http://schemas.openxmlformats.org/officeDocument/2006/relationships/chart" Target="../charts/chart42.xml"/><Relationship Id="rId9" Type="http://schemas.openxmlformats.org/officeDocument/2006/relationships/chart" Target="../charts/chart47.xml"/><Relationship Id="rId14" Type="http://schemas.openxmlformats.org/officeDocument/2006/relationships/chart" Target="../charts/chart5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3.xml"/><Relationship Id="rId3" Type="http://schemas.openxmlformats.org/officeDocument/2006/relationships/chart" Target="../charts/chart58.xml"/><Relationship Id="rId7" Type="http://schemas.openxmlformats.org/officeDocument/2006/relationships/chart" Target="../charts/chart62.xml"/><Relationship Id="rId12" Type="http://schemas.openxmlformats.org/officeDocument/2006/relationships/chart" Target="../charts/chart67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11" Type="http://schemas.openxmlformats.org/officeDocument/2006/relationships/chart" Target="../charts/chart66.xml"/><Relationship Id="rId5" Type="http://schemas.openxmlformats.org/officeDocument/2006/relationships/chart" Target="../charts/chart60.xml"/><Relationship Id="rId10" Type="http://schemas.openxmlformats.org/officeDocument/2006/relationships/chart" Target="../charts/chart65.xml"/><Relationship Id="rId4" Type="http://schemas.openxmlformats.org/officeDocument/2006/relationships/chart" Target="../charts/chart59.xml"/><Relationship Id="rId9" Type="http://schemas.openxmlformats.org/officeDocument/2006/relationships/chart" Target="../charts/chart6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4</xdr:row>
      <xdr:rowOff>80962</xdr:rowOff>
    </xdr:from>
    <xdr:to>
      <xdr:col>18</xdr:col>
      <xdr:colOff>201706</xdr:colOff>
      <xdr:row>18</xdr:row>
      <xdr:rowOff>156882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301C7-F123-7C2C-062D-817F86F08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526677</xdr:colOff>
      <xdr:row>16</xdr:row>
      <xdr:rowOff>67236</xdr:rowOff>
    </xdr:from>
    <xdr:to>
      <xdr:col>11</xdr:col>
      <xdr:colOff>392206</xdr:colOff>
      <xdr:row>40</xdr:row>
      <xdr:rowOff>145676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3FD53F4-C9DE-45E2-AE3B-0C731DAD1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414618</xdr:colOff>
      <xdr:row>4</xdr:row>
      <xdr:rowOff>100853</xdr:rowOff>
    </xdr:from>
    <xdr:to>
      <xdr:col>24</xdr:col>
      <xdr:colOff>511549</xdr:colOff>
      <xdr:row>18</xdr:row>
      <xdr:rowOff>176773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1DE02B7-0CD7-48E9-9378-E029404D1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582705</xdr:colOff>
      <xdr:row>4</xdr:row>
      <xdr:rowOff>100853</xdr:rowOff>
    </xdr:from>
    <xdr:to>
      <xdr:col>31</xdr:col>
      <xdr:colOff>74519</xdr:colOff>
      <xdr:row>18</xdr:row>
      <xdr:rowOff>176773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0704062-1867-4C2E-9F8C-BF5AECE0D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89647</xdr:colOff>
      <xdr:row>19</xdr:row>
      <xdr:rowOff>123264</xdr:rowOff>
    </xdr:from>
    <xdr:to>
      <xdr:col>18</xdr:col>
      <xdr:colOff>186578</xdr:colOff>
      <xdr:row>34</xdr:row>
      <xdr:rowOff>8684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728C77-0D1A-4756-B5DB-460057364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347382</xdr:colOff>
      <xdr:row>19</xdr:row>
      <xdr:rowOff>44823</xdr:rowOff>
    </xdr:from>
    <xdr:to>
      <xdr:col>24</xdr:col>
      <xdr:colOff>444313</xdr:colOff>
      <xdr:row>33</xdr:row>
      <xdr:rowOff>120743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5EF1DEB-13F7-4DD5-B360-2AE34C049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537882</xdr:colOff>
      <xdr:row>19</xdr:row>
      <xdr:rowOff>168088</xdr:rowOff>
    </xdr:from>
    <xdr:to>
      <xdr:col>31</xdr:col>
      <xdr:colOff>29696</xdr:colOff>
      <xdr:row>34</xdr:row>
      <xdr:rowOff>53508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E31225-A07B-450C-B77D-6A0A62BB1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140072</xdr:colOff>
      <xdr:row>15</xdr:row>
      <xdr:rowOff>124384</xdr:rowOff>
    </xdr:from>
    <xdr:to>
      <xdr:col>5</xdr:col>
      <xdr:colOff>212911</xdr:colOff>
      <xdr:row>40</xdr:row>
      <xdr:rowOff>134470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19538E-C518-A80B-F6D1-BB2BC6951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161245</xdr:rowOff>
    </xdr:from>
    <xdr:to>
      <xdr:col>6</xdr:col>
      <xdr:colOff>201426</xdr:colOff>
      <xdr:row>32</xdr:row>
      <xdr:rowOff>159284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274AAE-A3D2-A33F-31BE-91A4A53837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33</xdr:row>
      <xdr:rowOff>58431</xdr:rowOff>
    </xdr:from>
    <xdr:to>
      <xdr:col>6</xdr:col>
      <xdr:colOff>201426</xdr:colOff>
      <xdr:row>44</xdr:row>
      <xdr:rowOff>56470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0206E0A-246E-4402-B89B-123A9EB91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437345</xdr:colOff>
      <xdr:row>21</xdr:row>
      <xdr:rowOff>161245</xdr:rowOff>
    </xdr:from>
    <xdr:to>
      <xdr:col>12</xdr:col>
      <xdr:colOff>637970</xdr:colOff>
      <xdr:row>32</xdr:row>
      <xdr:rowOff>159284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8006666-C0A8-4AA8-A576-1CEA5CB5C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437345</xdr:colOff>
      <xdr:row>33</xdr:row>
      <xdr:rowOff>58431</xdr:rowOff>
    </xdr:from>
    <xdr:to>
      <xdr:col>12</xdr:col>
      <xdr:colOff>637970</xdr:colOff>
      <xdr:row>44</xdr:row>
      <xdr:rowOff>56470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A30444E-D1CD-4E02-920B-08582FB38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142335</xdr:colOff>
      <xdr:row>21</xdr:row>
      <xdr:rowOff>161245</xdr:rowOff>
    </xdr:from>
    <xdr:to>
      <xdr:col>19</xdr:col>
      <xdr:colOff>343761</xdr:colOff>
      <xdr:row>32</xdr:row>
      <xdr:rowOff>159284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69DA8D-6308-48C4-B4E3-623B4CCF1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142335</xdr:colOff>
      <xdr:row>33</xdr:row>
      <xdr:rowOff>58431</xdr:rowOff>
    </xdr:from>
    <xdr:to>
      <xdr:col>19</xdr:col>
      <xdr:colOff>343761</xdr:colOff>
      <xdr:row>44</xdr:row>
      <xdr:rowOff>56470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5D9DF82-EF0A-4BF8-AB7D-F23635AA5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44532</xdr:colOff>
      <xdr:row>22</xdr:row>
      <xdr:rowOff>133599</xdr:rowOff>
    </xdr:from>
    <xdr:to>
      <xdr:col>26</xdr:col>
      <xdr:colOff>1075994</xdr:colOff>
      <xdr:row>33</xdr:row>
      <xdr:rowOff>131638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0048F59-BE77-4CDF-A0CD-A4E13CFDB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27214</xdr:colOff>
      <xdr:row>33</xdr:row>
      <xdr:rowOff>176893</xdr:rowOff>
    </xdr:from>
    <xdr:to>
      <xdr:col>26</xdr:col>
      <xdr:colOff>1058676</xdr:colOff>
      <xdr:row>44</xdr:row>
      <xdr:rowOff>174932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14C30A4-C819-49D1-AA0A-9A079FC4B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1211036</xdr:colOff>
      <xdr:row>22</xdr:row>
      <xdr:rowOff>95249</xdr:rowOff>
    </xdr:from>
    <xdr:to>
      <xdr:col>30</xdr:col>
      <xdr:colOff>704890</xdr:colOff>
      <xdr:row>33</xdr:row>
      <xdr:rowOff>93288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DC48D3C-FC1F-4B8A-A542-CE83EF3A4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1197430</xdr:colOff>
      <xdr:row>34</xdr:row>
      <xdr:rowOff>13606</xdr:rowOff>
    </xdr:from>
    <xdr:to>
      <xdr:col>30</xdr:col>
      <xdr:colOff>691284</xdr:colOff>
      <xdr:row>45</xdr:row>
      <xdr:rowOff>11645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CD39D3B-6D60-4C6D-B03C-CCA8F57CC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843643</xdr:colOff>
      <xdr:row>22</xdr:row>
      <xdr:rowOff>81643</xdr:rowOff>
    </xdr:from>
    <xdr:to>
      <xdr:col>34</xdr:col>
      <xdr:colOff>337498</xdr:colOff>
      <xdr:row>33</xdr:row>
      <xdr:rowOff>79682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D3E275A-123B-4F96-84F8-9CEC824042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925285</xdr:colOff>
      <xdr:row>34</xdr:row>
      <xdr:rowOff>54428</xdr:rowOff>
    </xdr:from>
    <xdr:to>
      <xdr:col>34</xdr:col>
      <xdr:colOff>419140</xdr:colOff>
      <xdr:row>45</xdr:row>
      <xdr:rowOff>52467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CA28D7B-8830-4BC1-9A48-E763A0251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201426</xdr:colOff>
      <xdr:row>55</xdr:row>
      <xdr:rowOff>188539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9999D6DC-410B-491C-A80A-78B5ACF9E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367393</xdr:colOff>
      <xdr:row>45</xdr:row>
      <xdr:rowOff>0</xdr:rowOff>
    </xdr:from>
    <xdr:to>
      <xdr:col>12</xdr:col>
      <xdr:colOff>568819</xdr:colOff>
      <xdr:row>55</xdr:row>
      <xdr:rowOff>188539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C33566EB-E019-43EA-9D27-F13BF7BC56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122464</xdr:colOff>
      <xdr:row>45</xdr:row>
      <xdr:rowOff>13607</xdr:rowOff>
    </xdr:from>
    <xdr:to>
      <xdr:col>19</xdr:col>
      <xdr:colOff>323890</xdr:colOff>
      <xdr:row>56</xdr:row>
      <xdr:rowOff>11646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9CA3883D-DAEA-44E4-85F7-5A74EBCBC0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56</xdr:row>
      <xdr:rowOff>81643</xdr:rowOff>
    </xdr:from>
    <xdr:to>
      <xdr:col>6</xdr:col>
      <xdr:colOff>201426</xdr:colOff>
      <xdr:row>67</xdr:row>
      <xdr:rowOff>79682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BA9FD9C3-B92B-499B-B20B-4107322F3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353785</xdr:colOff>
      <xdr:row>56</xdr:row>
      <xdr:rowOff>81642</xdr:rowOff>
    </xdr:from>
    <xdr:to>
      <xdr:col>12</xdr:col>
      <xdr:colOff>555211</xdr:colOff>
      <xdr:row>67</xdr:row>
      <xdr:rowOff>79681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9A8A8C08-100C-408E-BE9A-042ED625F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190500</xdr:colOff>
      <xdr:row>57</xdr:row>
      <xdr:rowOff>68036</xdr:rowOff>
    </xdr:from>
    <xdr:to>
      <xdr:col>19</xdr:col>
      <xdr:colOff>391926</xdr:colOff>
      <xdr:row>68</xdr:row>
      <xdr:rowOff>66075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2344EFC-1251-4ED4-B5AB-34554716F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502228</xdr:colOff>
      <xdr:row>46</xdr:row>
      <xdr:rowOff>0</xdr:rowOff>
    </xdr:from>
    <xdr:to>
      <xdr:col>26</xdr:col>
      <xdr:colOff>771690</xdr:colOff>
      <xdr:row>56</xdr:row>
      <xdr:rowOff>188539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10D8B3B-F3DC-4DD0-9CA0-72E7E3DA28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26</xdr:col>
      <xdr:colOff>1091046</xdr:colOff>
      <xdr:row>46</xdr:row>
      <xdr:rowOff>17319</xdr:rowOff>
    </xdr:from>
    <xdr:to>
      <xdr:col>30</xdr:col>
      <xdr:colOff>598507</xdr:colOff>
      <xdr:row>57</xdr:row>
      <xdr:rowOff>15358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1BD2F1F2-0A76-4642-B68D-8315D3A55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30</xdr:col>
      <xdr:colOff>779317</xdr:colOff>
      <xdr:row>46</xdr:row>
      <xdr:rowOff>0</xdr:rowOff>
    </xdr:from>
    <xdr:to>
      <xdr:col>34</xdr:col>
      <xdr:colOff>286779</xdr:colOff>
      <xdr:row>56</xdr:row>
      <xdr:rowOff>188539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1B402DF8-E8BD-4A05-9C63-B4E06C39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20</xdr:col>
      <xdr:colOff>536863</xdr:colOff>
      <xdr:row>57</xdr:row>
      <xdr:rowOff>155863</xdr:rowOff>
    </xdr:from>
    <xdr:to>
      <xdr:col>26</xdr:col>
      <xdr:colOff>806325</xdr:colOff>
      <xdr:row>68</xdr:row>
      <xdr:rowOff>153902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CC777DBC-4A9B-41A1-AF8F-C1C62618A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26</xdr:col>
      <xdr:colOff>1073728</xdr:colOff>
      <xdr:row>58</xdr:row>
      <xdr:rowOff>34637</xdr:rowOff>
    </xdr:from>
    <xdr:to>
      <xdr:col>30</xdr:col>
      <xdr:colOff>581189</xdr:colOff>
      <xdr:row>69</xdr:row>
      <xdr:rowOff>32676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1052933-A84F-4DF1-A90A-5B8EF1242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30</xdr:col>
      <xdr:colOff>796636</xdr:colOff>
      <xdr:row>58</xdr:row>
      <xdr:rowOff>86591</xdr:rowOff>
    </xdr:from>
    <xdr:to>
      <xdr:col>34</xdr:col>
      <xdr:colOff>304098</xdr:colOff>
      <xdr:row>69</xdr:row>
      <xdr:rowOff>84630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A08EFC08-4048-40C0-8544-4014152E7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511968</xdr:colOff>
      <xdr:row>12</xdr:row>
      <xdr:rowOff>109537</xdr:rowOff>
    </xdr:from>
    <xdr:to>
      <xdr:col>8</xdr:col>
      <xdr:colOff>207168</xdr:colOff>
      <xdr:row>26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87C613-1783-0CDE-9D28-6020ED2E49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253603</xdr:colOff>
      <xdr:row>12</xdr:row>
      <xdr:rowOff>109537</xdr:rowOff>
    </xdr:from>
    <xdr:to>
      <xdr:col>15</xdr:col>
      <xdr:colOff>558403</xdr:colOff>
      <xdr:row>26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688C28-B53C-4638-9D9D-64326C18F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581025</xdr:colOff>
      <xdr:row>12</xdr:row>
      <xdr:rowOff>119062</xdr:rowOff>
    </xdr:from>
    <xdr:to>
      <xdr:col>23</xdr:col>
      <xdr:colOff>276225</xdr:colOff>
      <xdr:row>27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24FEC2-6ACA-4ACB-B8E3-F4540E092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511968</xdr:colOff>
      <xdr:row>27</xdr:row>
      <xdr:rowOff>133350</xdr:rowOff>
    </xdr:from>
    <xdr:to>
      <xdr:col>8</xdr:col>
      <xdr:colOff>207168</xdr:colOff>
      <xdr:row>42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3A1006-2823-4182-BA94-30D4594D3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272653</xdr:colOff>
      <xdr:row>27</xdr:row>
      <xdr:rowOff>19050</xdr:rowOff>
    </xdr:from>
    <xdr:to>
      <xdr:col>15</xdr:col>
      <xdr:colOff>577453</xdr:colOff>
      <xdr:row>41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6EB35E-0130-4B0F-8F8D-052FABA83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581025</xdr:colOff>
      <xdr:row>27</xdr:row>
      <xdr:rowOff>9525</xdr:rowOff>
    </xdr:from>
    <xdr:to>
      <xdr:col>23</xdr:col>
      <xdr:colOff>276225</xdr:colOff>
      <xdr:row>41</xdr:row>
      <xdr:rowOff>85725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B76DC5-AD6C-4872-A2A0-A6A0314BA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378759</xdr:colOff>
      <xdr:row>41</xdr:row>
      <xdr:rowOff>74599</xdr:rowOff>
    </xdr:from>
    <xdr:to>
      <xdr:col>4</xdr:col>
      <xdr:colOff>840441</xdr:colOff>
      <xdr:row>63</xdr:row>
      <xdr:rowOff>6467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3134E58-ACD6-4B17-B707-5D5BB91D5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65742</xdr:colOff>
      <xdr:row>41</xdr:row>
      <xdr:rowOff>73105</xdr:rowOff>
    </xdr:from>
    <xdr:to>
      <xdr:col>9</xdr:col>
      <xdr:colOff>594659</xdr:colOff>
      <xdr:row>63</xdr:row>
      <xdr:rowOff>4973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54FE5B0-14CD-4C9A-9083-62AE0CE5E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800846</xdr:colOff>
      <xdr:row>41</xdr:row>
      <xdr:rowOff>64140</xdr:rowOff>
    </xdr:from>
    <xdr:to>
      <xdr:col>17</xdr:col>
      <xdr:colOff>29882</xdr:colOff>
      <xdr:row>62</xdr:row>
      <xdr:rowOff>152891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A97B6DB-FD70-4DDD-8F6D-D5BCF9BE3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67982</xdr:colOff>
      <xdr:row>41</xdr:row>
      <xdr:rowOff>112780</xdr:rowOff>
    </xdr:from>
    <xdr:to>
      <xdr:col>23</xdr:col>
      <xdr:colOff>103841</xdr:colOff>
      <xdr:row>63</xdr:row>
      <xdr:rowOff>44648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C27D38-6884-415D-9257-C780D7A96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186765</xdr:colOff>
      <xdr:row>41</xdr:row>
      <xdr:rowOff>132442</xdr:rowOff>
    </xdr:from>
    <xdr:to>
      <xdr:col>28</xdr:col>
      <xdr:colOff>413123</xdr:colOff>
      <xdr:row>63</xdr:row>
      <xdr:rowOff>64310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750A4EE-E489-405D-9BA0-53C1587DE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492125</xdr:colOff>
      <xdr:row>42</xdr:row>
      <xdr:rowOff>29349</xdr:rowOff>
    </xdr:from>
    <xdr:to>
      <xdr:col>33</xdr:col>
      <xdr:colOff>852955</xdr:colOff>
      <xdr:row>63</xdr:row>
      <xdr:rowOff>118099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115715F-5471-40A8-A600-E328FF8F6C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391779</xdr:colOff>
      <xdr:row>66</xdr:row>
      <xdr:rowOff>126572</xdr:rowOff>
    </xdr:from>
    <xdr:to>
      <xdr:col>4</xdr:col>
      <xdr:colOff>467979</xdr:colOff>
      <xdr:row>91</xdr:row>
      <xdr:rowOff>113872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C6B456A-1D29-471E-891F-1FBEA1D02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586761</xdr:colOff>
      <xdr:row>67</xdr:row>
      <xdr:rowOff>17505</xdr:rowOff>
    </xdr:from>
    <xdr:to>
      <xdr:col>9</xdr:col>
      <xdr:colOff>801914</xdr:colOff>
      <xdr:row>91</xdr:row>
      <xdr:rowOff>68305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BDB6AA-36D6-4592-889D-DCE11425B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362230</xdr:colOff>
      <xdr:row>67</xdr:row>
      <xdr:rowOff>98933</xdr:rowOff>
    </xdr:from>
    <xdr:to>
      <xdr:col>17</xdr:col>
      <xdr:colOff>540030</xdr:colOff>
      <xdr:row>91</xdr:row>
      <xdr:rowOff>143685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39B54EF-F6C2-4221-9FBD-4AF8B732C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166166</xdr:colOff>
      <xdr:row>67</xdr:row>
      <xdr:rowOff>160619</xdr:rowOff>
    </xdr:from>
    <xdr:to>
      <xdr:col>23</xdr:col>
      <xdr:colOff>322799</xdr:colOff>
      <xdr:row>92</xdr:row>
      <xdr:rowOff>48133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4DEAC11-9F97-447D-9DB5-5B26423B7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680144</xdr:colOff>
      <xdr:row>68</xdr:row>
      <xdr:rowOff>36925</xdr:rowOff>
    </xdr:from>
    <xdr:to>
      <xdr:col>28</xdr:col>
      <xdr:colOff>362644</xdr:colOff>
      <xdr:row>92</xdr:row>
      <xdr:rowOff>87725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805B135-900E-4AF9-A819-806AB2CDD5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743644</xdr:colOff>
      <xdr:row>68</xdr:row>
      <xdr:rowOff>20491</xdr:rowOff>
    </xdr:from>
    <xdr:to>
      <xdr:col>33</xdr:col>
      <xdr:colOff>540444</xdr:colOff>
      <xdr:row>92</xdr:row>
      <xdr:rowOff>71291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0894DF8-0AD1-4596-85D8-89455D20C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162960</xdr:colOff>
      <xdr:row>20</xdr:row>
      <xdr:rowOff>3098</xdr:rowOff>
    </xdr:from>
    <xdr:to>
      <xdr:col>20</xdr:col>
      <xdr:colOff>340760</xdr:colOff>
      <xdr:row>41</xdr:row>
      <xdr:rowOff>22148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1D9A019B-A18E-44D6-8B47-70651FC3D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20</xdr:col>
      <xdr:colOff>469900</xdr:colOff>
      <xdr:row>20</xdr:row>
      <xdr:rowOff>31751</xdr:rowOff>
    </xdr:from>
    <xdr:to>
      <xdr:col>25</xdr:col>
      <xdr:colOff>224366</xdr:colOff>
      <xdr:row>41</xdr:row>
      <xdr:rowOff>50801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DFBFC-6B44-8F4A-9F24-3B2474C04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448734</xdr:colOff>
      <xdr:row>19</xdr:row>
      <xdr:rowOff>42333</xdr:rowOff>
    </xdr:from>
    <xdr:to>
      <xdr:col>30</xdr:col>
      <xdr:colOff>160868</xdr:colOff>
      <xdr:row>40</xdr:row>
      <xdr:rowOff>61383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383FBF-03E8-B04C-B081-3491AF63E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30</xdr:col>
      <xdr:colOff>609515</xdr:colOff>
      <xdr:row>21</xdr:row>
      <xdr:rowOff>74881</xdr:rowOff>
    </xdr:from>
    <xdr:to>
      <xdr:col>37</xdr:col>
      <xdr:colOff>421790</xdr:colOff>
      <xdr:row>39</xdr:row>
      <xdr:rowOff>89572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188506-A911-FAA6-5DD2-8648DBAE0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533400</xdr:colOff>
      <xdr:row>43</xdr:row>
      <xdr:rowOff>125730</xdr:rowOff>
    </xdr:from>
    <xdr:to>
      <xdr:col>31</xdr:col>
      <xdr:colOff>441960</xdr:colOff>
      <xdr:row>60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B86ACB6-FB41-455B-99BB-D37B37EF0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176213</xdr:colOff>
      <xdr:row>2</xdr:row>
      <xdr:rowOff>62345</xdr:rowOff>
    </xdr:from>
    <xdr:to>
      <xdr:col>7</xdr:col>
      <xdr:colOff>481013</xdr:colOff>
      <xdr:row>22</xdr:row>
      <xdr:rowOff>24245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4EF4C4-AD2D-4FAB-83BF-E347AB12E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562102</xdr:colOff>
      <xdr:row>2</xdr:row>
      <xdr:rowOff>62345</xdr:rowOff>
    </xdr:from>
    <xdr:to>
      <xdr:col>15</xdr:col>
      <xdr:colOff>260767</xdr:colOff>
      <xdr:row>22</xdr:row>
      <xdr:rowOff>24245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E38B43-9738-4F0D-A678-6EAA25A11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562102</xdr:colOff>
      <xdr:row>22</xdr:row>
      <xdr:rowOff>131618</xdr:rowOff>
    </xdr:from>
    <xdr:to>
      <xdr:col>15</xdr:col>
      <xdr:colOff>260766</xdr:colOff>
      <xdr:row>42</xdr:row>
      <xdr:rowOff>93518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6EE513-05A1-42A1-B0DE-469BC19A06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354412</xdr:colOff>
      <xdr:row>22</xdr:row>
      <xdr:rowOff>131618</xdr:rowOff>
    </xdr:from>
    <xdr:to>
      <xdr:col>23</xdr:col>
      <xdr:colOff>53075</xdr:colOff>
      <xdr:row>42</xdr:row>
      <xdr:rowOff>93517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4D83D40-E2A7-4DC7-8999-86A79DBAD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354412</xdr:colOff>
      <xdr:row>2</xdr:row>
      <xdr:rowOff>62345</xdr:rowOff>
    </xdr:from>
    <xdr:to>
      <xdr:col>23</xdr:col>
      <xdr:colOff>53076</xdr:colOff>
      <xdr:row>22</xdr:row>
      <xdr:rowOff>24245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E1F3CC-1B63-422E-A546-B030BAB9A2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177945</xdr:colOff>
      <xdr:row>22</xdr:row>
      <xdr:rowOff>131618</xdr:rowOff>
    </xdr:from>
    <xdr:to>
      <xdr:col>7</xdr:col>
      <xdr:colOff>479281</xdr:colOff>
      <xdr:row>42</xdr:row>
      <xdr:rowOff>93518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CE15F5-C1F3-4516-A206-39179A301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130268</xdr:colOff>
      <xdr:row>22</xdr:row>
      <xdr:rowOff>131618</xdr:rowOff>
    </xdr:from>
    <xdr:to>
      <xdr:col>30</xdr:col>
      <xdr:colOff>435067</xdr:colOff>
      <xdr:row>42</xdr:row>
      <xdr:rowOff>93517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7380223-4172-42A8-8D64-702DEB3DF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521786</xdr:colOff>
      <xdr:row>22</xdr:row>
      <xdr:rowOff>131618</xdr:rowOff>
    </xdr:from>
    <xdr:to>
      <xdr:col>38</xdr:col>
      <xdr:colOff>220449</xdr:colOff>
      <xdr:row>42</xdr:row>
      <xdr:rowOff>93517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5AAEC4-8F0E-4AD8-90AF-D127EA54B9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130268</xdr:colOff>
      <xdr:row>2</xdr:row>
      <xdr:rowOff>62345</xdr:rowOff>
    </xdr:from>
    <xdr:to>
      <xdr:col>30</xdr:col>
      <xdr:colOff>435068</xdr:colOff>
      <xdr:row>22</xdr:row>
      <xdr:rowOff>24245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EFB0F87-B403-4056-B6E7-C2757D08D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289494</xdr:colOff>
      <xdr:row>22</xdr:row>
      <xdr:rowOff>131618</xdr:rowOff>
    </xdr:from>
    <xdr:to>
      <xdr:col>45</xdr:col>
      <xdr:colOff>594294</xdr:colOff>
      <xdr:row>42</xdr:row>
      <xdr:rowOff>93518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299A864-F334-407B-9E05-642ADA7EC6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521786</xdr:colOff>
      <xdr:row>2</xdr:row>
      <xdr:rowOff>62345</xdr:rowOff>
    </xdr:from>
    <xdr:to>
      <xdr:col>38</xdr:col>
      <xdr:colOff>220450</xdr:colOff>
      <xdr:row>22</xdr:row>
      <xdr:rowOff>24245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011F72D-6E90-43B9-AB50-0A42F526F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288984</xdr:colOff>
      <xdr:row>2</xdr:row>
      <xdr:rowOff>62345</xdr:rowOff>
    </xdr:from>
    <xdr:to>
      <xdr:col>45</xdr:col>
      <xdr:colOff>594804</xdr:colOff>
      <xdr:row>22</xdr:row>
      <xdr:rowOff>25263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C39AF0-A6C9-4CEB-95E2-2CFFC5E14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469265</xdr:colOff>
      <xdr:row>8</xdr:row>
      <xdr:rowOff>66675</xdr:rowOff>
    </xdr:from>
    <xdr:to>
      <xdr:col>14</xdr:col>
      <xdr:colOff>663575</xdr:colOff>
      <xdr:row>26</xdr:row>
      <xdr:rowOff>24765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20D0D-5768-49D1-A3BB-B2D058DAD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137160</xdr:colOff>
      <xdr:row>27</xdr:row>
      <xdr:rowOff>53340</xdr:rowOff>
    </xdr:from>
    <xdr:to>
      <xdr:col>11</xdr:col>
      <xdr:colOff>217170</xdr:colOff>
      <xdr:row>45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319106-CB5C-438B-B2EB-5560B7D349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2" Type="http://schemas.openxmlformats.org/officeDocument/2006/relationships/externalLinkPath" Target="/4e45d85f3c6a809f/Documents/Research/Cell%20count%20data.xlsx" TargetMode="External"/><Relationship Id="rId1" Type="http://schemas.openxmlformats.org/officeDocument/2006/relationships/pivotCacheRecords" Target="pivotCacheRecords1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926434953704" createdVersion="8" refreshedVersion="8" minRefreshableVersion="3" recordCount="18" xr:uid="{36C37F9A-1EBE-40F7-BDE2-5D4884848E0D}">
  <cacheSource type="worksheet">
    <worksheetSource ref="A191:G209" sheet="final" r:id="rId2"/>
  </cacheSource>
  <cacheFields count="7">
    <cacheField name="051" numFmtId="49">
      <sharedItems/>
    </cacheField>
    <cacheField name="1/8/2022" numFmtId="14">
      <sharedItems containsSemiMixedTypes="0" containsNonDate="0" containsDate="1" containsString="0" minDate="2022-01-08T00:00:00" maxDate="2022-01-09T00:00:00"/>
    </cacheField>
    <cacheField name="Acanthoceras sp." numFmtId="0">
      <sharedItems/>
    </cacheField>
    <cacheField name="Bacillariophyta" numFmtId="0">
      <sharedItems count="7">
        <s v="Bacillariophyta"/>
        <s v="Chlorophyta"/>
        <s v="Cryptophyta"/>
        <s v="Cyanobacteria"/>
        <s v="Haptophyta"/>
        <s v="Ochrophyta"/>
        <s v="Miozoa"/>
      </sharedItems>
    </cacheField>
    <cacheField name="2" numFmtId="0">
      <sharedItems containsSemiMixedTypes="0" containsString="0" containsNumber="1" containsInteger="1" minValue="1" maxValue="512"/>
    </cacheField>
    <cacheField name="3.61E+04" numFmtId="11">
      <sharedItems containsSemiMixedTypes="0" containsString="0" containsNumber="1" minValue="18029.210903873744" maxValue="9230955.9827833567"/>
    </cacheField>
    <cacheField name="7.92E+07" numFmtId="11">
      <sharedItems containsSemiMixedTypes="0" containsString="0" containsNumber="1" minValue="207228.30206336788" maxValue="2546763257.14075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916067824073" createdVersion="8" refreshedVersion="8" minRefreshableVersion="3" recordCount="14" xr:uid="{CBD9D140-001B-468D-AC24-A565B1BD8712}">
  <cacheSource type="worksheet">
    <worksheetSource ref="A141:G155" sheet="final" r:id="rId2"/>
  </cacheSource>
  <cacheFields count="7">
    <cacheField name="051" numFmtId="49">
      <sharedItems/>
    </cacheField>
    <cacheField name="3/8/2022" numFmtId="14">
      <sharedItems containsSemiMixedTypes="0" containsNonDate="0" containsDate="1" containsString="0" minDate="2022-03-08T00:00:00" maxDate="2022-03-09T00:00:00"/>
    </cacheField>
    <cacheField name="Nitzschia sp." numFmtId="0">
      <sharedItems/>
    </cacheField>
    <cacheField name="Bacillariophyta" numFmtId="0">
      <sharedItems count="7">
        <s v="Bacillariophyta"/>
        <s v="Chlorophyta"/>
        <s v="Cryptophyta"/>
        <s v="Cyanobacteria"/>
        <s v="Haptophyta"/>
        <s v="Ochrophyta"/>
        <s v="Miozoa"/>
      </sharedItems>
    </cacheField>
    <cacheField name="4" numFmtId="0">
      <sharedItems containsSemiMixedTypes="0" containsString="0" containsNumber="1" containsInteger="1" minValue="1" maxValue="430"/>
    </cacheField>
    <cacheField name="7.21E+04" numFmtId="11">
      <sharedItems containsSemiMixedTypes="0" containsString="0" containsNumber="1" minValue="18029.210903873744" maxValue="7752560.6886657095"/>
    </cacheField>
    <cacheField name="4.18E+06" numFmtId="11">
      <sharedItems containsSemiMixedTypes="0" containsString="0" containsNumber="1" minValue="178926.98785117874" maxValue="6333318013.46625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57109351852" createdVersion="8" refreshedVersion="8" minRefreshableVersion="3" recordCount="18" xr:uid="{82FD828F-439A-4129-847A-040F07096105}">
  <cacheSource type="worksheet">
    <worksheetSource ref="A23:G41" sheet="final" r:id="rId2"/>
  </cacheSource>
  <cacheFields count="7">
    <cacheField name="SYKES" numFmtId="0">
      <sharedItems/>
    </cacheField>
    <cacheField name="1/8/2022" numFmtId="14">
      <sharedItems containsSemiMixedTypes="0" containsNonDate="0" containsDate="1" containsString="0" minDate="2022-01-08T00:00:00" maxDate="2022-01-09T00:00:00"/>
    </cacheField>
    <cacheField name="Cocconeis sp." numFmtId="0">
      <sharedItems/>
    </cacheField>
    <cacheField name="Bacillariophyta" numFmtId="0">
      <sharedItems count="6">
        <s v="Bacillariophyta"/>
        <s v="Chlorophyta"/>
        <s v="Cryptophyta"/>
        <s v="Cyanobacteria"/>
        <s v="Ochrophyta"/>
        <s v="Miozoa"/>
      </sharedItems>
    </cacheField>
    <cacheField name="1" numFmtId="0">
      <sharedItems containsSemiMixedTypes="0" containsString="0" containsNumber="1" containsInteger="1" minValue="1" maxValue="816"/>
    </cacheField>
    <cacheField name="3.11E+04" numFmtId="11">
      <sharedItems containsSemiMixedTypes="0" containsString="0" containsNumber="1" minValue="31084.846385989218" maxValue="25365234.650967199"/>
    </cacheField>
    <cacheField name="1.81E+07" numFmtId="11">
      <sharedItems containsSemiMixedTypes="0" containsString="0" containsNumber="1" minValue="195983.06903310437" maxValue="24282891850.35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582024305557" createdVersion="8" refreshedVersion="8" minRefreshableVersion="3" recordCount="15" xr:uid="{E5973347-11AB-4975-BE47-84BC65597BE7}">
  <cacheSource type="worksheet">
    <worksheetSource ref="A44:G59" sheet="final" r:id="rId2"/>
  </cacheSource>
  <cacheFields count="7">
    <cacheField name="SYKES" numFmtId="0">
      <sharedItems/>
    </cacheField>
    <cacheField name="3/8/2022" numFmtId="14">
      <sharedItems containsSemiMixedTypes="0" containsNonDate="0" containsDate="1" containsString="0" minDate="2022-03-08T00:00:00" maxDate="2022-03-09T00:00:00"/>
    </cacheField>
    <cacheField name="cf. Cyclotella sp." numFmtId="0">
      <sharedItems/>
    </cacheField>
    <cacheField name="Bacillariophyta" numFmtId="0">
      <sharedItems count="7">
        <s v="Bacillariophyta"/>
        <s v="Chlorophyta"/>
        <s v="Cryptophyta"/>
        <s v="Cyanobacteria"/>
        <s v="Haptophyta"/>
        <s v="Ochrophyta"/>
        <s v="Miozoa"/>
      </sharedItems>
    </cacheField>
    <cacheField name="9" numFmtId="0">
      <sharedItems containsSemiMixedTypes="0" containsString="0" containsNumber="1" containsInteger="1" minValue="1" maxValue="694"/>
    </cacheField>
    <cacheField name="5.41E+05" numFmtId="11">
      <sharedItems containsSemiMixedTypes="0" containsString="0" containsNumber="1" minValue="60097.369679579155" maxValue="41707574.557627931"/>
    </cacheField>
    <cacheField name="4.93E+07" numFmtId="11">
      <sharedItems containsSemiMixedTypes="0" containsString="0" containsNumber="1" minValue="650672.44262813637" maxValue="12737399356.691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762395370373" createdVersion="8" refreshedVersion="8" minRefreshableVersion="3" recordCount="16" xr:uid="{92409A07-EF43-4DBA-AAC1-123587C5A50E}">
  <cacheSource type="worksheet">
    <worksheetSource ref="A77:G93" sheet="final" r:id="rId2"/>
  </cacheSource>
  <cacheFields count="7">
    <cacheField name="BARGE JCT." numFmtId="0">
      <sharedItems/>
    </cacheField>
    <cacheField name="3/8/2022" numFmtId="14">
      <sharedItems containsSemiMixedTypes="0" containsNonDate="0" containsDate="1" containsString="0" minDate="2022-03-08T00:00:00" maxDate="2022-03-09T00:00:00"/>
    </cacheField>
    <cacheField name="Skeletonema sp." numFmtId="0">
      <sharedItems/>
    </cacheField>
    <cacheField name="Bacillariophyta" numFmtId="0">
      <sharedItems count="6">
        <s v="Chlorophyta"/>
        <s v="Cryptophyta"/>
        <s v="Cyanobacteria"/>
        <s v="Haptophyta"/>
        <s v="Ochrophyta"/>
        <s v="Miozoa"/>
      </sharedItems>
    </cacheField>
    <cacheField name="4" numFmtId="0">
      <sharedItems containsSemiMixedTypes="0" containsString="0" containsNumber="1" containsInteger="1" minValue="1" maxValue="578"/>
    </cacheField>
    <cacheField name="5.15E+05" numFmtId="11">
      <sharedItems containsSemiMixedTypes="0" containsString="0" containsNumber="1" minValue="128780.07788481245" maxValue="74434885.017421588"/>
    </cacheField>
    <cacheField name="4.10E+07" numFmtId="11">
      <sharedItems containsSemiMixedTypes="0" containsString="0" containsNumber="1" minValue="393246.12714544777" maxValue="254244544.70306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919493287038" createdVersion="8" refreshedVersion="8" minRefreshableVersion="3" recordCount="14" xr:uid="{F9BCB7EF-4D50-4849-B060-3BDA558B8B86}">
  <cacheSource type="worksheet">
    <worksheetSource ref="A158:G172" sheet="final" r:id="rId2"/>
  </cacheSource>
  <cacheFields count="7">
    <cacheField name="KARS" numFmtId="0">
      <sharedItems/>
    </cacheField>
    <cacheField name="1/8/2022" numFmtId="14">
      <sharedItems containsSemiMixedTypes="0" containsNonDate="0" containsDate="1" containsString="0" minDate="2022-01-08T00:00:00" maxDate="2022-01-09T00:00:00"/>
    </cacheField>
    <cacheField name="cf. Cyclotella sp." numFmtId="0">
      <sharedItems/>
    </cacheField>
    <cacheField name="Bacillariophyta" numFmtId="0">
      <sharedItems count="7">
        <s v="Bacillariophyta"/>
        <s v="Chlorophyta"/>
        <s v="Cryptophyta"/>
        <s v="Cyanobacteria"/>
        <s v="Haptophyta"/>
        <s v="Ochrophyta"/>
        <s v="Miozoa"/>
      </sharedItems>
    </cacheField>
    <cacheField name="3" numFmtId="0">
      <sharedItems containsSemiMixedTypes="0" containsString="0" containsNumber="1" containsInteger="1" minValue="1" maxValue="730"/>
    </cacheField>
    <cacheField name="2.46E+05" numFmtId="11">
      <sharedItems containsSemiMixedTypes="0" containsString="0" containsNumber="1" minValue="81950.958653971567" maxValue="59824199.817399248"/>
    </cacheField>
    <cacheField name="2.24E+07" numFmtId="11">
      <sharedItems containsSemiMixedTypes="0" containsString="0" containsNumber="1" minValue="406652.24511631537" maxValue="6603046403.01324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920781018518" createdVersion="8" refreshedVersion="8" minRefreshableVersion="3" recordCount="13" xr:uid="{135E37CC-529A-4C7B-822F-3EDAD8E613E8}">
  <cacheSource type="worksheet">
    <worksheetSource ref="A175:G188" sheet="final" r:id="rId2"/>
  </cacheSource>
  <cacheFields count="7">
    <cacheField name="GRAND SOUTH" numFmtId="0">
      <sharedItems/>
    </cacheField>
    <cacheField name="3/8/2022" numFmtId="14">
      <sharedItems containsSemiMixedTypes="0" containsNonDate="0" containsDate="1" containsString="0" minDate="2022-03-08T00:00:00" maxDate="2022-03-09T00:00:00"/>
    </cacheField>
    <cacheField name="cf. Cyclotella sp." numFmtId="0">
      <sharedItems/>
    </cacheField>
    <cacheField name="Bacillariophyta" numFmtId="0">
      <sharedItems count="7">
        <s v="Bacillariophyta"/>
        <s v="Chlorophyta"/>
        <s v="Cryptophyta"/>
        <s v="Cyanobacteria"/>
        <s v="Haptophyta"/>
        <s v="Ochrophyta"/>
        <s v="Miozoa"/>
      </sharedItems>
    </cacheField>
    <cacheField name="1" numFmtId="0">
      <sharedItems containsSemiMixedTypes="0" containsString="0" containsNumber="1" containsInteger="1" minValue="2" maxValue="664"/>
    </cacheField>
    <cacheField name="2.73E+04" numFmtId="11">
      <sharedItems containsSemiMixedTypes="0" containsString="0" containsNumber="1" minValue="54633.97243598105" maxValue="18138478.848745707"/>
    </cacheField>
    <cacheField name="2.49E+06" numFmtId="11">
      <sharedItems containsSemiMixedTypes="0" containsString="0" containsNumber="1" minValue="196210.3161515815" maxValue="35786427395.484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559040624998" createdVersion="8" refreshedVersion="8" minRefreshableVersion="3" recordCount="19" xr:uid="{2BD32DF8-B693-4AF8-8A30-2DF544E0A157}">
  <cacheSource type="worksheet">
    <worksheetSource ref="A1:G20" sheet="final" r:id="rId2"/>
  </cacheSource>
  <cacheFields count="7">
    <cacheField name="STATION" numFmtId="0">
      <sharedItems/>
    </cacheField>
    <cacheField name="SAMPLE DATE" numFmtId="14">
      <sharedItems containsSemiMixedTypes="0" containsNonDate="0" containsDate="1" containsString="0" minDate="2022-01-08T00:00:00" maxDate="2022-01-09T00:00:00"/>
    </cacheField>
    <cacheField name="GENUS" numFmtId="0">
      <sharedItems/>
    </cacheField>
    <cacheField name="DIVISION" numFmtId="0">
      <sharedItems count="8">
        <s v="Bacillariophyta"/>
        <s v="Chlorophyta"/>
        <s v="Cryptophyta"/>
        <s v="Cyanobacteria"/>
        <s v="Ochrophyta"/>
        <s v="Miozoa"/>
        <s v="Formula1" f="1"/>
        <s v="Formula2" f="1"/>
      </sharedItems>
    </cacheField>
    <cacheField name="TALLY" numFmtId="0">
      <sharedItems containsSemiMixedTypes="0" containsString="0" containsNumber="1" containsInteger="1" minValue="1" maxValue="624"/>
    </cacheField>
    <cacheField name="DENSITY cells/L" numFmtId="11">
      <sharedItems containsSemiMixedTypes="0" containsString="0" containsNumber="1" minValue="128780.07788481245" maxValue="80358768.600122958"/>
    </cacheField>
    <cacheField name="Total BVum3/L" numFmtId="11">
      <sharedItems containsSemiMixedTypes="0" containsString="0" containsNumber="1" minValue="524045.40057296184" maxValue="566600914.47278476"/>
    </cacheField>
  </cacheFields>
  <calculatedItems count="2">
    <calculatedItem>
      <pivotArea cacheIndex="1" outline="0" fieldPosition="0">
        <references count="1">
          <reference field="3" count="1">
            <x v="6"/>
          </reference>
        </references>
      </pivotArea>
    </calculatedItem>
    <calculatedItem>
      <pivotArea cacheIndex="1" outline="0" fieldPosition="0">
        <references count="1">
          <reference field="3" count="1">
            <x v="7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758143634259" createdVersion="8" refreshedVersion="8" minRefreshableVersion="3" recordCount="12" xr:uid="{2EB8B655-4D23-4FA2-AE8E-264675D021C9}">
  <cacheSource type="worksheet">
    <worksheetSource ref="A62:G74" sheet="final" r:id="rId2"/>
  </cacheSource>
  <cacheFields count="7">
    <cacheField name="052" numFmtId="49">
      <sharedItems/>
    </cacheField>
    <cacheField name="3/8/2022" numFmtId="14">
      <sharedItems containsSemiMixedTypes="0" containsNonDate="0" containsDate="1" containsString="0" minDate="2022-03-08T00:00:00" maxDate="2022-03-09T00:00:00"/>
    </cacheField>
    <cacheField name="Cylindrotheca closterium" numFmtId="0">
      <sharedItems/>
    </cacheField>
    <cacheField name="Bacillariophyta" numFmtId="0">
      <sharedItems count="7">
        <s v="Bacillariophyta"/>
        <s v="Chlorophyta"/>
        <s v="Cryptophyta"/>
        <s v="Cyanobacteria"/>
        <s v="Haptophyta"/>
        <s v="Ochrophyta"/>
        <s v="Miozoa"/>
      </sharedItems>
    </cacheField>
    <cacheField name="2" numFmtId="0">
      <sharedItems containsSemiMixedTypes="0" containsString="0" containsNumber="1" containsInteger="1" minValue="1" maxValue="120"/>
    </cacheField>
    <cacheField name="3.61E+04" numFmtId="11">
      <sharedItems containsSemiMixedTypes="0" containsString="0" containsNumber="1" minValue="18029.210903873744" maxValue="2163505.3084648494"/>
    </cacheField>
    <cacheField name="5.01E+06" numFmtId="11">
      <sharedItems containsSemiMixedTypes="0" containsString="0" containsNumber="1" minValue="48172.650575317355" maxValue="10106297541.2744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904388888892" createdVersion="8" refreshedVersion="8" minRefreshableVersion="3" recordCount="9" xr:uid="{13BB7C99-988E-4B3C-BB45-241279E918F8}">
  <cacheSource type="worksheet">
    <worksheetSource ref="A96:G105" sheet="final" r:id="rId2"/>
  </cacheSource>
  <cacheFields count="7">
    <cacheField name="052" numFmtId="49">
      <sharedItems/>
    </cacheField>
    <cacheField name="1/8/2022" numFmtId="14">
      <sharedItems containsSemiMixedTypes="0" containsNonDate="0" containsDate="1" containsString="0" minDate="2022-01-08T00:00:00" maxDate="2022-01-09T00:00:00"/>
    </cacheField>
    <cacheField name="cf. Chlamydomonas sp." numFmtId="0">
      <sharedItems/>
    </cacheField>
    <cacheField name="Chlorophyta" numFmtId="0">
      <sharedItems count="5">
        <s v="Chlorophyta"/>
        <s v="Cyanobacteria"/>
        <s v="Haptophyta"/>
        <s v="Ochrophyta"/>
        <s v="Miozoa"/>
      </sharedItems>
    </cacheField>
    <cacheField name="2" numFmtId="0">
      <sharedItems containsSemiMixedTypes="0" containsString="0" containsNumber="1" containsInteger="1" minValue="1" maxValue="702"/>
    </cacheField>
    <cacheField name="1.50E+05" numFmtId="11">
      <sharedItems containsSemiMixedTypes="0" containsString="0" containsNumber="1" minValue="75121.712099473923" maxValue="52735441.893830694"/>
    </cacheField>
    <cacheField name="1.83E+07" numFmtId="11">
      <sharedItems containsSemiMixedTypes="0" containsString="0" containsNumber="1" minValue="1079156.738833698" maxValue="3440566602.21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91192835648" createdVersion="8" refreshedVersion="8" minRefreshableVersion="3" recordCount="16" xr:uid="{6E9587A9-D4BD-4279-A7FD-4D4FE50CD9EA}">
  <cacheSource type="worksheet">
    <worksheetSource ref="A122:G138" sheet="final" r:id="rId2"/>
  </cacheSource>
  <cacheFields count="7">
    <cacheField name="CARS PARK" numFmtId="0">
      <sharedItems/>
    </cacheField>
    <cacheField name="3/8/2022" numFmtId="14">
      <sharedItems containsSemiMixedTypes="0" containsNonDate="0" containsDate="1" containsString="0" minDate="2022-03-08T00:00:00" maxDate="2022-03-09T00:00:00"/>
    </cacheField>
    <cacheField name="cf. Cyclotella sp." numFmtId="0">
      <sharedItems/>
    </cacheField>
    <cacheField name="Bacillariophyta" numFmtId="0">
      <sharedItems count="7">
        <s v="Bacillariophyta"/>
        <s v="Chlorophyta"/>
        <s v="Cryptophyta"/>
        <s v="Cyanobacteria"/>
        <s v="Haptophyta"/>
        <s v="Ochrophyta"/>
        <s v="Miozoa"/>
      </sharedItems>
    </cacheField>
    <cacheField name="6" numFmtId="0">
      <sharedItems containsSemiMixedTypes="0" containsString="0" containsNumber="1" containsInteger="1" minValue="1" maxValue="694"/>
    </cacheField>
    <cacheField name="3.61E+05" numFmtId="11">
      <sharedItems containsSemiMixedTypes="0" containsString="0" containsNumber="1" minValue="60097.369679579155" maxValue="41707574.557627931"/>
    </cacheField>
    <cacheField name="5.74E+07" numFmtId="11">
      <sharedItems containsSemiMixedTypes="0" containsString="0" containsNumber="1" minValue="183514.85933454233" maxValue="2951198741.61953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Kenzie Woodman" refreshedDate="44885.908314351851" createdVersion="8" refreshedVersion="8" minRefreshableVersion="3" recordCount="11" xr:uid="{44B9B0BC-B0D6-4B0B-9C09-CBAF301A44B5}">
  <cacheSource type="worksheet">
    <worksheetSource ref="A108:G119" sheet="final" r:id="rId2"/>
  </cacheSource>
  <cacheFields count="7">
    <cacheField name="G5" numFmtId="0">
      <sharedItems/>
    </cacheField>
    <cacheField name="1/3/2022" numFmtId="14">
      <sharedItems containsSemiMixedTypes="0" containsNonDate="0" containsDate="1" containsString="0" minDate="2022-01-03T00:00:00" maxDate="2022-01-04T00:00:00"/>
    </cacheField>
    <cacheField name="Cylindrotheca closterium" numFmtId="0">
      <sharedItems/>
    </cacheField>
    <cacheField name="Bacillariophyta" numFmtId="0">
      <sharedItems count="6">
        <s v="Bacillariophyta"/>
        <s v="Chlorophyta"/>
        <s v="Cryptophyta"/>
        <s v="Cyanobacteria"/>
        <s v="Ochrophyta"/>
        <s v="Miozoa"/>
      </sharedItems>
    </cacheField>
    <cacheField name="15" numFmtId="0">
      <sharedItems containsSemiMixedTypes="0" containsString="0" containsNumber="1" containsInteger="1" minValue="1" maxValue="752"/>
    </cacheField>
    <cacheField name="1.23E+06" numFmtId="11">
      <sharedItems containsSemiMixedTypes="0" containsString="0" containsNumber="1" minValue="81950.958653971567" maxValue="61627120.907786623"/>
    </cacheField>
    <cacheField name="2.83E+08" numFmtId="11">
      <sharedItems containsSemiMixedTypes="0" containsString="0" containsNumber="1" minValue="531776.01284441247" maxValue="1663900497.46185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051"/>
    <d v="2022-01-08T00:00:00"/>
    <s v="cf. Cyclotella sp."/>
    <x v="0"/>
    <n v="2"/>
    <n v="36058.421807747487"/>
    <n v="3286048.7898619771"/>
  </r>
  <r>
    <s v="051"/>
    <d v="2022-01-08T00:00:00"/>
    <s v="Encyonema sp."/>
    <x v="0"/>
    <n v="1"/>
    <n v="18029.210903873744"/>
    <n v="6912335.8291347641"/>
  </r>
  <r>
    <s v="051"/>
    <d v="2022-01-08T00:00:00"/>
    <s v="Nitzschia sp."/>
    <x v="0"/>
    <n v="2"/>
    <n v="36058.421807747487"/>
    <n v="892013.23868005734"/>
  </r>
  <r>
    <s v="051"/>
    <d v="2022-01-08T00:00:00"/>
    <s v="Skeletonema sp."/>
    <x v="0"/>
    <n v="1"/>
    <n v="18029.210903873744"/>
    <n v="1434502.803992681"/>
  </r>
  <r>
    <s v="051"/>
    <d v="2022-01-08T00:00:00"/>
    <s v="cf. Thalassionema sp."/>
    <x v="0"/>
    <n v="3"/>
    <n v="54087.632711621227"/>
    <n v="30090680.88172166"/>
  </r>
  <r>
    <s v="051"/>
    <d v="2022-01-08T00:00:00"/>
    <s v="Urosolenia sp."/>
    <x v="0"/>
    <n v="1"/>
    <n v="18029.210903873744"/>
    <n v="8607016.8239560854"/>
  </r>
  <r>
    <s v="051"/>
    <d v="2022-01-08T00:00:00"/>
    <s v="Chlorella sp."/>
    <x v="1"/>
    <n v="11"/>
    <n v="198321.31994261118"/>
    <n v="712243.4476302407"/>
  </r>
  <r>
    <s v="051"/>
    <d v="2022-01-08T00:00:00"/>
    <s v="Pedinomonas sp."/>
    <x v="1"/>
    <n v="1"/>
    <n v="18029.210903873744"/>
    <n v="207228.30206336788"/>
  </r>
  <r>
    <s v="051"/>
    <d v="2022-01-08T00:00:00"/>
    <s v="Chroomonas sp."/>
    <x v="2"/>
    <n v="1"/>
    <n v="18029.210903873744"/>
    <n v="6082710.4614013368"/>
  </r>
  <r>
    <s v="051"/>
    <d v="2022-01-08T00:00:00"/>
    <s v="Teleaulax amphioxeia"/>
    <x v="2"/>
    <n v="1"/>
    <n v="18029.210903873744"/>
    <n v="2869005.6079853619"/>
  </r>
  <r>
    <s v="051"/>
    <d v="2022-01-08T00:00:00"/>
    <s v="Chroococcus sp."/>
    <x v="3"/>
    <n v="12"/>
    <n v="216350.53084648491"/>
    <n v="776992.85196026252"/>
  </r>
  <r>
    <s v="051"/>
    <d v="2022-01-08T00:00:00"/>
    <s v="Eucapsis microscopica"/>
    <x v="3"/>
    <n v="512"/>
    <n v="9230955.9827833567"/>
    <n v="2474656.3418412684"/>
  </r>
  <r>
    <s v="051"/>
    <d v="2022-01-08T00:00:00"/>
    <s v="Pseudanabaena sp."/>
    <x v="3"/>
    <n v="13"/>
    <n v="234379.74175035863"/>
    <n v="964401.73801679572"/>
  </r>
  <r>
    <s v="051"/>
    <d v="2022-01-08T00:00:00"/>
    <s v="Snowella sp."/>
    <x v="3"/>
    <n v="51"/>
    <n v="919489.75609756086"/>
    <n v="350972.16847731214"/>
  </r>
  <r>
    <s v="051"/>
    <d v="2022-01-08T00:00:00"/>
    <s v="Chrysochromulina sp."/>
    <x v="4"/>
    <n v="3"/>
    <n v="54087.632711621227"/>
    <n v="1434502.8039926807"/>
  </r>
  <r>
    <s v="051"/>
    <d v="2022-01-08T00:00:00"/>
    <s v="cf. Nannochloropsis sp."/>
    <x v="5"/>
    <n v="17"/>
    <n v="306496.58536585362"/>
    <n v="28183049.080618028"/>
  </r>
  <r>
    <s v="051"/>
    <d v="2022-01-08T00:00:00"/>
    <s v="Ochromonas sp."/>
    <x v="5"/>
    <n v="2"/>
    <n v="36058.421807747487"/>
    <n v="8632863.721325323"/>
  </r>
  <r>
    <s v="051"/>
    <d v="2022-01-08T00:00:00"/>
    <s v="Protoperidinium sp."/>
    <x v="6"/>
    <n v="4"/>
    <n v="72116.843615494974"/>
    <n v="2546763257.14075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051"/>
    <d v="2022-03-08T00:00:00"/>
    <s v="Thalassionema sp."/>
    <x v="0"/>
    <n v="7"/>
    <n v="126204.47632711619"/>
    <n v="75049258.710588217"/>
  </r>
  <r>
    <s v="051"/>
    <d v="2022-03-08T00:00:00"/>
    <s v="Urosolenia sp."/>
    <x v="0"/>
    <n v="2"/>
    <n v="36058.421807747487"/>
    <n v="85526080.66586712"/>
  </r>
  <r>
    <s v="051"/>
    <d v="2022-03-08T00:00:00"/>
    <s v="Chlorella sp."/>
    <x v="1"/>
    <n v="13"/>
    <n v="234379.74175035863"/>
    <n v="841742.25629028433"/>
  </r>
  <r>
    <s v="051"/>
    <d v="2022-03-08T00:00:00"/>
    <s v="Pedinomonas sp."/>
    <x v="1"/>
    <n v="4"/>
    <n v="72116.843615494974"/>
    <n v="459429.07274143532"/>
  </r>
  <r>
    <s v="051"/>
    <d v="2022-03-08T00:00:00"/>
    <s v="Plagioselmis nannoplanctica"/>
    <x v="2"/>
    <n v="2"/>
    <n v="36058.421807747487"/>
    <n v="9039532.2720080782"/>
  </r>
  <r>
    <s v="051"/>
    <d v="2022-03-08T00:00:00"/>
    <s v="Teleaulax amphioxeia"/>
    <x v="2"/>
    <n v="12"/>
    <n v="216350.53084648491"/>
    <n v="34428067.295824341"/>
  </r>
  <r>
    <s v="051"/>
    <d v="2022-03-08T00:00:00"/>
    <s v="Aphanocapsa sp."/>
    <x v="3"/>
    <n v="53"/>
    <n v="955548.17790530843"/>
    <n v="364735.78292740288"/>
  </r>
  <r>
    <s v="051"/>
    <d v="2022-03-08T00:00:00"/>
    <s v="Eucapsis microscopica"/>
    <x v="3"/>
    <n v="430"/>
    <n v="7752560.6886657095"/>
    <n v="2078324.6620932526"/>
  </r>
  <r>
    <s v="051"/>
    <d v="2022-03-08T00:00:00"/>
    <s v="Phormidium sp."/>
    <x v="3"/>
    <n v="27"/>
    <n v="486788.69440459105"/>
    <n v="2622350.8753658864"/>
  </r>
  <r>
    <s v="051"/>
    <d v="2022-03-08T00:00:00"/>
    <s v="Snowella sp."/>
    <x v="3"/>
    <n v="26"/>
    <n v="468759.48350071727"/>
    <n v="178926.98785117874"/>
  </r>
  <r>
    <s v="051"/>
    <d v="2022-03-08T00:00:00"/>
    <s v="Chrysochromulina sp."/>
    <x v="4"/>
    <n v="24"/>
    <n v="432701.06169296982"/>
    <n v="11476022.431941446"/>
  </r>
  <r>
    <s v="051"/>
    <d v="2022-03-08T00:00:00"/>
    <s v="cf. Nannochloropsis sp."/>
    <x v="5"/>
    <n v="13"/>
    <n v="234379.74175035863"/>
    <n v="9757165.9966280274"/>
  </r>
  <r>
    <s v="051"/>
    <d v="2022-03-08T00:00:00"/>
    <s v="Karlodinium sp."/>
    <x v="6"/>
    <n v="1"/>
    <n v="18029.210903873744"/>
    <n v="10195269.96303013"/>
  </r>
  <r>
    <s v="051"/>
    <d v="2022-03-08T00:00:00"/>
    <s v="Protoperidinium sp."/>
    <x v="6"/>
    <n v="4"/>
    <n v="72116.843615494974"/>
    <n v="6333318013.466257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SYKES"/>
    <d v="2022-01-08T00:00:00"/>
    <s v="cf. Cyclotella sp."/>
    <x v="0"/>
    <n v="6"/>
    <n v="186509.0783159353"/>
    <n v="16996804.085492987"/>
  </r>
  <r>
    <s v="SYKES"/>
    <d v="2022-01-08T00:00:00"/>
    <s v="Cylindrotheca closterium"/>
    <x v="0"/>
    <n v="7"/>
    <n v="217593.92470192452"/>
    <n v="17329371.057323441"/>
  </r>
  <r>
    <s v="SYKES"/>
    <d v="2022-01-08T00:00:00"/>
    <s v="Gyrosigma sp."/>
    <x v="0"/>
    <n v="3"/>
    <n v="93254.539157967651"/>
    <n v="2267918312.760303"/>
  </r>
  <r>
    <s v="SYKES"/>
    <d v="2022-01-08T00:00:00"/>
    <s v="Nitzschia sp."/>
    <x v="0"/>
    <n v="7"/>
    <n v="217593.92470192452"/>
    <n v="4006121.7476871321"/>
  </r>
  <r>
    <s v="SYKES"/>
    <d v="2022-01-08T00:00:00"/>
    <s v="Chlorella sp."/>
    <x v="1"/>
    <n v="9"/>
    <n v="279763.617473903"/>
    <n v="1004732.1361555123"/>
  </r>
  <r>
    <s v="SYKES"/>
    <d v="2022-01-08T00:00:00"/>
    <s v="Drepanochloris nannoselene"/>
    <x v="1"/>
    <n v="1"/>
    <n v="31084.846385989218"/>
    <n v="195983.06903310437"/>
  </r>
  <r>
    <s v="SYKES"/>
    <d v="2022-01-08T00:00:00"/>
    <s v="Pedinomonas sp."/>
    <x v="1"/>
    <n v="4"/>
    <n v="124339.38554395687"/>
    <n v="1429160.7038852959"/>
  </r>
  <r>
    <s v="SYKES"/>
    <d v="2022-01-08T00:00:00"/>
    <s v="Plagioselmis nannoplanctica"/>
    <x v="2"/>
    <n v="2"/>
    <n v="62169.692771978436"/>
    <n v="15585400.468979446"/>
  </r>
  <r>
    <s v="SYKES"/>
    <d v="2022-01-08T00:00:00"/>
    <s v="Teleaulax amphioxeia"/>
    <x v="2"/>
    <n v="2"/>
    <n v="62169.692771978436"/>
    <n v="9893122.7861564215"/>
  </r>
  <r>
    <s v="SYKES"/>
    <d v="2022-01-08T00:00:00"/>
    <s v="Aphanocapsa sp."/>
    <x v="3"/>
    <n v="149"/>
    <n v="4631642.1115123928"/>
    <n v="1767912.5457444056"/>
  </r>
  <r>
    <s v="SYKES"/>
    <d v="2022-01-08T00:00:00"/>
    <s v="cf. Dolichospermum sp."/>
    <x v="3"/>
    <n v="23"/>
    <n v="714951.46687775198"/>
    <n v="301108948.78355616"/>
  </r>
  <r>
    <s v="SYKES"/>
    <d v="2022-01-08T00:00:00"/>
    <s v="Eucapsis microscopica"/>
    <x v="3"/>
    <n v="816"/>
    <n v="25365234.650967199"/>
    <n v="6799971.6289819339"/>
  </r>
  <r>
    <s v="SYKES"/>
    <d v="2022-01-08T00:00:00"/>
    <s v="cf. Microcystis sp."/>
    <x v="3"/>
    <n v="25"/>
    <n v="777121.15964973043"/>
    <n v="71458035.194264799"/>
  </r>
  <r>
    <s v="SYKES"/>
    <d v="2022-01-08T00:00:00"/>
    <s v="Oscillatoria sp."/>
    <x v="3"/>
    <n v="257"/>
    <n v="7988805.5211992282"/>
    <n v="1271266278.0211"/>
  </r>
  <r>
    <s v="SYKES"/>
    <d v="2022-01-08T00:00:00"/>
    <s v="Planktolyngbya sp."/>
    <x v="3"/>
    <n v="76"/>
    <n v="2362448.3253351804"/>
    <n v="4208185.5674989875"/>
  </r>
  <r>
    <s v="SYKES"/>
    <d v="2022-01-08T00:00:00"/>
    <s v="cf. Nannochloropsis sp."/>
    <x v="4"/>
    <n v="24"/>
    <n v="746036.31326374121"/>
    <n v="19786245.572312843"/>
  </r>
  <r>
    <s v="SYKES"/>
    <d v="2022-01-08T00:00:00"/>
    <s v="Prorocentrum sp."/>
    <x v="5"/>
    <n v="2"/>
    <n v="62169.692771978436"/>
    <n v="1885758798.8548777"/>
  </r>
  <r>
    <s v="SYKES"/>
    <d v="2022-01-08T00:00:00"/>
    <s v="Protoperidinium sp."/>
    <x v="5"/>
    <n v="7"/>
    <n v="217593.92470192452"/>
    <n v="24282891850.3510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YKES"/>
    <d v="2022-03-08T00:00:00"/>
    <s v="Cylindrotheca closterium"/>
    <x v="0"/>
    <n v="2"/>
    <n v="120194.73935915831"/>
    <n v="6576704.3313368801"/>
  </r>
  <r>
    <s v="SYKES"/>
    <d v="2022-03-08T00:00:00"/>
    <s v="Nitzschia sp."/>
    <x v="0"/>
    <n v="4"/>
    <n v="240389.47871831662"/>
    <n v="7422025.1554280259"/>
  </r>
  <r>
    <s v="SYKES"/>
    <d v="2022-03-08T00:00:00"/>
    <s v="Chlorella sp."/>
    <x v="1"/>
    <n v="5"/>
    <n v="300486.84839789575"/>
    <n v="1079156.7388336982"/>
  </r>
  <r>
    <s v="SYKES"/>
    <d v="2022-03-08T00:00:00"/>
    <s v="Pedinomonas sp."/>
    <x v="1"/>
    <n v="6"/>
    <n v="360584.21807747491"/>
    <n v="4144566.0412673578"/>
  </r>
  <r>
    <s v="SYKES"/>
    <d v="2022-03-08T00:00:00"/>
    <s v="Plagioselmis nannoplanctica"/>
    <x v="2"/>
    <n v="1"/>
    <n v="60097.369679579155"/>
    <n v="15065887.120013466"/>
  </r>
  <r>
    <s v="SYKES"/>
    <d v="2022-03-08T00:00:00"/>
    <s v="Aphanocapsa sp."/>
    <x v="3"/>
    <n v="139"/>
    <n v="8353534.3854615018"/>
    <n v="3188570.680937673"/>
  </r>
  <r>
    <s v="SYKES"/>
    <d v="2022-03-08T00:00:00"/>
    <s v="Chroococcus sp."/>
    <x v="3"/>
    <n v="4"/>
    <n v="240389.47871831662"/>
    <n v="863325.39106695855"/>
  </r>
  <r>
    <s v="SYKES"/>
    <d v="2022-03-08T00:00:00"/>
    <s v="Eucapsis microscopica"/>
    <x v="3"/>
    <n v="694"/>
    <n v="41707574.557627931"/>
    <n v="11181064.461183857"/>
  </r>
  <r>
    <s v="SYKES"/>
    <d v="2022-03-08T00:00:00"/>
    <s v="Oscillatoria sp."/>
    <x v="3"/>
    <n v="200"/>
    <n v="2108449.6644295305"/>
    <n v="335519615.56473112"/>
  </r>
  <r>
    <s v="SYKES"/>
    <d v="2022-03-08T00:00:00"/>
    <s v="Planktolyngbya sp."/>
    <x v="3"/>
    <n v="95"/>
    <n v="5709250.11956002"/>
    <n v="10169781.788122553"/>
  </r>
  <r>
    <s v="SYKES"/>
    <d v="2022-03-08T00:00:00"/>
    <s v="Pseudanabaena sp."/>
    <x v="3"/>
    <n v="15"/>
    <n v="158133.72483221476"/>
    <n v="650672.44262813637"/>
  </r>
  <r>
    <s v="SYKES"/>
    <d v="2022-03-08T00:00:00"/>
    <s v="Snowella sp."/>
    <x v="3"/>
    <n v="36"/>
    <n v="2163505.3084648494"/>
    <n v="825816.86700544052"/>
  </r>
  <r>
    <s v="SYKES"/>
    <d v="2022-03-08T00:00:00"/>
    <s v="Chrysochromulina sp."/>
    <x v="4"/>
    <n v="8"/>
    <n v="480778.95743663324"/>
    <n v="12751136.035490498"/>
  </r>
  <r>
    <s v="SYKES"/>
    <d v="2022-03-08T00:00:00"/>
    <s v="cf. Nannochloropsis sp."/>
    <x v="5"/>
    <n v="7"/>
    <n v="420681.58775705402"/>
    <n v="17512862.045229796"/>
  </r>
  <r>
    <s v="SYKES"/>
    <d v="2022-03-08T00:00:00"/>
    <s v="Protoperidinium sp."/>
    <x v="6"/>
    <n v="2"/>
    <n v="120194.73935915831"/>
    <n v="12737399356.69191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BARGE JCT."/>
    <d v="2022-03-08T00:00:00"/>
    <s v="Chlorella sp."/>
    <x v="0"/>
    <n v="25"/>
    <n v="3219501.9471203107"/>
    <n v="11562393.630361049"/>
  </r>
  <r>
    <s v="BARGE JCT."/>
    <d v="2022-03-08T00:00:00"/>
    <s v="Pedinomonas sp."/>
    <x v="0"/>
    <n v="1"/>
    <n v="128780.07788481245"/>
    <n v="462495.74521444202"/>
  </r>
  <r>
    <s v="BARGE JCT."/>
    <d v="2022-03-08T00:00:00"/>
    <s v="Pyramimonas sp."/>
    <x v="0"/>
    <n v="1"/>
    <n v="128780.07788481245"/>
    <n v="8775484.2200303748"/>
  </r>
  <r>
    <s v="BARGE JCT."/>
    <d v="2022-03-08T00:00:00"/>
    <s v="Chroomonas sp."/>
    <x v="1"/>
    <n v="5"/>
    <n v="643900.38942406222"/>
    <n v="161420219.14300138"/>
  </r>
  <r>
    <s v="BARGE JCT."/>
    <d v="2022-03-08T00:00:00"/>
    <s v="Cryptomonas sp."/>
    <x v="1"/>
    <n v="1"/>
    <n v="128780.07788481245"/>
    <n v="117155789.1013626"/>
  </r>
  <r>
    <s v="BARGE JCT."/>
    <d v="2022-03-08T00:00:00"/>
    <s v="Plagioselmis nannoplanctica"/>
    <x v="1"/>
    <n v="3"/>
    <n v="386340.23365443735"/>
    <n v="96852131.485800833"/>
  </r>
  <r>
    <s v="BARGE JCT."/>
    <d v="2022-03-08T00:00:00"/>
    <s v="Teleaulax amphioxeia"/>
    <x v="1"/>
    <n v="19"/>
    <n v="2446821.4798114365"/>
    <n v="254244544.70306379"/>
  </r>
  <r>
    <s v="BARGE JCT."/>
    <d v="2022-03-08T00:00:00"/>
    <s v="Aphanocapsa sp."/>
    <x v="2"/>
    <n v="12"/>
    <n v="1545360.9346177494"/>
    <n v="589869.19071817165"/>
  </r>
  <r>
    <s v="BARGE JCT."/>
    <d v="2022-03-08T00:00:00"/>
    <s v="Chroococcus sp."/>
    <x v="2"/>
    <n v="4"/>
    <n v="515120.31153924979"/>
    <n v="1849982.9808577681"/>
  </r>
  <r>
    <s v="BARGE JCT."/>
    <d v="2022-03-08T00:00:00"/>
    <s v="cf. Cyanodictyon sp."/>
    <x v="2"/>
    <n v="199"/>
    <n v="25627235.499077678"/>
    <n v="9781997.4127430134"/>
  </r>
  <r>
    <s v="BARGE JCT."/>
    <d v="2022-03-08T00:00:00"/>
    <s v="Eucapsis microscopica"/>
    <x v="2"/>
    <n v="578"/>
    <n v="74434885.017421588"/>
    <n v="19954678.649333883"/>
  </r>
  <r>
    <s v="BARGE JCT."/>
    <d v="2022-03-08T00:00:00"/>
    <s v="Snowella sp."/>
    <x v="2"/>
    <n v="8"/>
    <n v="1030240.6230784996"/>
    <n v="393246.12714544777"/>
  </r>
  <r>
    <s v="BARGE JCT."/>
    <d v="2022-03-08T00:00:00"/>
    <s v="Chrysochromulina sp."/>
    <x v="3"/>
    <n v="21"/>
    <n v="2704381.6355810612"/>
    <n v="71725140.19963403"/>
  </r>
  <r>
    <s v="BARGE JCT."/>
    <d v="2022-03-08T00:00:00"/>
    <s v="cf. Nannochloropsis sp."/>
    <x v="4"/>
    <n v="15"/>
    <n v="1931701.1682721865"/>
    <n v="51232242.999738596"/>
  </r>
  <r>
    <s v="BARGE JCT."/>
    <d v="2022-03-08T00:00:00"/>
    <s v="Ochromonas sp."/>
    <x v="4"/>
    <n v="6"/>
    <n v="772680.46730887471"/>
    <n v="71049703.564583272"/>
  </r>
  <r>
    <s v="BARGE JCT."/>
    <d v="2022-03-08T00:00:00"/>
    <s v="cf. Karlodinium sp."/>
    <x v="5"/>
    <n v="4"/>
    <n v="515120.31153924979"/>
    <n v="137357797.447947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KARS"/>
    <d v="2022-01-08T00:00:00"/>
    <s v="Cylindrotheca closterium"/>
    <x v="0"/>
    <n v="1"/>
    <n v="81950.958653971567"/>
    <n v="4192161.1315156459"/>
  </r>
  <r>
    <s v="KARS"/>
    <d v="2022-01-08T00:00:00"/>
    <s v="Nitzschia sp."/>
    <x v="0"/>
    <n v="1"/>
    <n v="81950.958653971567"/>
    <n v="4212934.8824833697"/>
  </r>
  <r>
    <s v="KARS"/>
    <d v="2022-01-08T00:00:00"/>
    <s v="Urosolenia sp."/>
    <x v="0"/>
    <n v="1"/>
    <n v="81950.958653971567"/>
    <n v="104757943.60800774"/>
  </r>
  <r>
    <s v="KARS"/>
    <d v="2022-01-08T00:00:00"/>
    <s v="Chlorella sp."/>
    <x v="1"/>
    <n v="9"/>
    <n v="737558.62788574421"/>
    <n v="2648839.2680463502"/>
  </r>
  <r>
    <s v="KARS"/>
    <d v="2022-01-08T00:00:00"/>
    <s v="Plagioselmis nannoplanctica"/>
    <x v="2"/>
    <n v="1"/>
    <n v="81950.958653971567"/>
    <n v="20544391.527291086"/>
  </r>
  <r>
    <s v="KARS"/>
    <d v="2022-01-08T00:00:00"/>
    <s v="Aphanocapsa sp."/>
    <x v="3"/>
    <n v="124"/>
    <n v="10161918.873092474"/>
    <n v="3878836.7995710084"/>
  </r>
  <r>
    <s v="KARS"/>
    <d v="2022-01-08T00:00:00"/>
    <s v="Chroococcus sp."/>
    <x v="3"/>
    <n v="4"/>
    <n v="327803.83461588627"/>
    <n v="1177261.8969094888"/>
  </r>
  <r>
    <s v="KARS"/>
    <d v="2022-01-08T00:00:00"/>
    <s v="cf. Cyanodictyon sp."/>
    <x v="3"/>
    <n v="14"/>
    <n v="1147313.421155602"/>
    <n v="437933.18704833963"/>
  </r>
  <r>
    <s v="KARS"/>
    <d v="2022-01-08T00:00:00"/>
    <s v="Eucapsis microscopica"/>
    <x v="3"/>
    <n v="730"/>
    <n v="59824199.817399248"/>
    <n v="16037811.874503961"/>
  </r>
  <r>
    <s v="KARS"/>
    <d v="2022-01-08T00:00:00"/>
    <s v="Snowella sp."/>
    <x v="3"/>
    <n v="13"/>
    <n v="1065362.4625016304"/>
    <n v="406652.24511631537"/>
  </r>
  <r>
    <s v="KARS"/>
    <d v="2022-01-08T00:00:00"/>
    <s v="Chrysochromulina sp."/>
    <x v="4"/>
    <n v="2"/>
    <n v="163901.91730794313"/>
    <n v="4346978.1939172149"/>
  </r>
  <r>
    <s v="KARS"/>
    <d v="2022-01-08T00:00:00"/>
    <s v="cf. Nannochloropsis sp."/>
    <x v="5"/>
    <n v="19"/>
    <n v="1557068.2144254597"/>
    <n v="143175917.78923598"/>
  </r>
  <r>
    <s v="KARS"/>
    <d v="2022-01-08T00:00:00"/>
    <s v="Ochromonas sp."/>
    <x v="5"/>
    <n v="4"/>
    <n v="327803.83461588627"/>
    <n v="47135959.82486783"/>
  </r>
  <r>
    <s v="KARS"/>
    <d v="2022-01-08T00:00:00"/>
    <s v="Protoperidinium sp."/>
    <x v="6"/>
    <n v="1"/>
    <n v="81950.958653971567"/>
    <n v="6603046403.013242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GRAND SOUTH"/>
    <d v="2022-03-08T00:00:00"/>
    <s v="Cylindrotheca closterium"/>
    <x v="0"/>
    <n v="4"/>
    <n v="109267.9448719621"/>
    <n v="56256835.990839921"/>
  </r>
  <r>
    <s v="GRAND SOUTH"/>
    <d v="2022-03-08T00:00:00"/>
    <s v="Chlorella sp."/>
    <x v="1"/>
    <n v="13"/>
    <n v="355120.82083387685"/>
    <n v="1275367.0549852799"/>
  </r>
  <r>
    <s v="GRAND SOUTH"/>
    <d v="2022-03-08T00:00:00"/>
    <s v="Pyramimonas sp."/>
    <x v="1"/>
    <n v="2"/>
    <n v="54633.97243598105"/>
    <n v="16082008.541431241"/>
  </r>
  <r>
    <s v="GRAND SOUTH"/>
    <d v="2022-03-08T00:00:00"/>
    <s v="Teleaulax amphioxeia"/>
    <x v="2"/>
    <n v="2"/>
    <n v="54633.97243598105"/>
    <n v="8693956.3878344316"/>
  </r>
  <r>
    <s v="GRAND SOUTH"/>
    <d v="2022-03-08T00:00:00"/>
    <s v="Aphanocapsa sp."/>
    <x v="3"/>
    <n v="274"/>
    <n v="7484854.2237294037"/>
    <n v="2856992.6964582158"/>
  </r>
  <r>
    <s v="GRAND SOUTH"/>
    <d v="2022-03-08T00:00:00"/>
    <s v="Chroococcus sp."/>
    <x v="3"/>
    <n v="2"/>
    <n v="54633.97243598105"/>
    <n v="196210.3161515815"/>
  </r>
  <r>
    <s v="GRAND SOUTH"/>
    <d v="2022-03-08T00:00:00"/>
    <s v="Eucapsis microscopica"/>
    <x v="3"/>
    <n v="664"/>
    <n v="18138478.848745707"/>
    <n v="4862605.9747354472"/>
  </r>
  <r>
    <s v="GRAND SOUTH"/>
    <d v="2022-03-08T00:00:00"/>
    <s v="cf. Phormidium sp."/>
    <x v="3"/>
    <n v="25"/>
    <n v="682924.65544976317"/>
    <n v="3678943.4278421537"/>
  </r>
  <r>
    <s v="GRAND SOUTH"/>
    <d v="2022-03-08T00:00:00"/>
    <s v="Planktolyngbya sp."/>
    <x v="3"/>
    <n v="80"/>
    <n v="2185358.8974392419"/>
    <n v="3892739.4404296852"/>
  </r>
  <r>
    <s v="GRAND SOUTH"/>
    <d v="2022-03-08T00:00:00"/>
    <s v="Chrysochromulina sp."/>
    <x v="4"/>
    <n v="13"/>
    <n v="355120.82083387685"/>
    <n v="9418452.7534873001"/>
  </r>
  <r>
    <s v="GRAND SOUTH"/>
    <d v="2022-03-08T00:00:00"/>
    <s v="cf. Nannochloropsis sp."/>
    <x v="5"/>
    <n v="9"/>
    <n v="245852.87596191472"/>
    <n v="22606723.861458316"/>
  </r>
  <r>
    <s v="GRAND SOUTH"/>
    <d v="2022-03-08T00:00:00"/>
    <s v="Gymnodinium sp."/>
    <x v="6"/>
    <n v="3"/>
    <n v="81950.958653971582"/>
    <n v="75302109.473153219"/>
  </r>
  <r>
    <s v="GRAND SOUTH"/>
    <d v="2022-03-08T00:00:00"/>
    <s v="Protoperidinium sp."/>
    <x v="6"/>
    <n v="18"/>
    <n v="491705.75192382943"/>
    <n v="35786427395.48454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BARGE JCT."/>
    <d v="2022-01-08T00:00:00"/>
    <s v="Cyclotella sp."/>
    <x v="0"/>
    <n v="2"/>
    <n v="257560.15576962489"/>
    <n v="23471777.070442691"/>
  </r>
  <r>
    <s v="BARGE JCT."/>
    <d v="2022-01-08T00:00:00"/>
    <s v="Cylindrotheca closterium"/>
    <x v="0"/>
    <n v="2"/>
    <n v="257560.15576962489"/>
    <n v="9241149.1298497282"/>
  </r>
  <r>
    <s v="BARGE JCT."/>
    <d v="2022-01-08T00:00:00"/>
    <s v="Nitzschia sp."/>
    <x v="0"/>
    <n v="3"/>
    <n v="386340.23365443735"/>
    <n v="22413914.995695833"/>
  </r>
  <r>
    <s v="BARGE JCT."/>
    <d v="2022-01-08T00:00:00"/>
    <s v="Skeletonema sp."/>
    <x v="0"/>
    <n v="44"/>
    <n v="5666323.4269317472"/>
    <n v="566600914.47278476"/>
  </r>
  <r>
    <s v="BARGE JCT."/>
    <d v="2022-01-08T00:00:00"/>
    <s v="Chlorella sp."/>
    <x v="1"/>
    <n v="33"/>
    <n v="4249742.5701988107"/>
    <n v="15262359.592076587"/>
  </r>
  <r>
    <s v="BARGE JCT."/>
    <d v="2022-01-08T00:00:00"/>
    <s v="Pyramimonas sp."/>
    <x v="1"/>
    <n v="4"/>
    <n v="515120.31153924979"/>
    <n v="31295702.760590255"/>
  </r>
  <r>
    <s v="BARGE JCT."/>
    <d v="2022-01-08T00:00:00"/>
    <s v="Teleaulax amphioxeia"/>
    <x v="2"/>
    <n v="6"/>
    <n v="772680.46730887471"/>
    <n v="80287750.958862245"/>
  </r>
  <r>
    <s v="BARGE JCT."/>
    <d v="2022-01-08T00:00:00"/>
    <s v="Aphanocapsa sp."/>
    <x v="3"/>
    <n v="85"/>
    <n v="10946306.620209057"/>
    <n v="4178240.1009203824"/>
  </r>
  <r>
    <s v="BARGE JCT."/>
    <d v="2022-01-08T00:00:00"/>
    <s v="Chroococcus sp."/>
    <x v="3"/>
    <n v="4"/>
    <n v="515120.31153924979"/>
    <n v="1849982.9808577681"/>
  </r>
  <r>
    <s v="BARGE JCT."/>
    <d v="2022-01-08T00:00:00"/>
    <s v="cf. Cyanodictyon sp."/>
    <x v="3"/>
    <n v="196"/>
    <n v="25240895.265423238"/>
    <n v="9634530.1150634699"/>
  </r>
  <r>
    <s v="BARGE JCT."/>
    <d v="2022-01-08T00:00:00"/>
    <s v="Eucapsis microscopica"/>
    <x v="3"/>
    <n v="624"/>
    <n v="80358768.600122958"/>
    <n v="21542767.261564609"/>
  </r>
  <r>
    <s v="BARGE JCT."/>
    <d v="2022-01-08T00:00:00"/>
    <s v="Eucapsis sp."/>
    <x v="3"/>
    <n v="40"/>
    <n v="420279.59866220731"/>
    <n v="1509375.7464222491"/>
  </r>
  <r>
    <s v="BARGE JCT."/>
    <d v="2022-01-08T00:00:00"/>
    <s v="Merismopedia sp."/>
    <x v="3"/>
    <n v="132"/>
    <n v="1386922.6755852841"/>
    <n v="1011066.6305016723"/>
  </r>
  <r>
    <s v="BARGE JCT."/>
    <d v="2022-01-08T00:00:00"/>
    <s v="cf. Microcystis sp."/>
    <x v="3"/>
    <n v="3"/>
    <n v="386340.23365443735"/>
    <n v="16083240.653782466"/>
  </r>
  <r>
    <s v="BARGE JCT."/>
    <d v="2022-01-08T00:00:00"/>
    <s v="Planktolyngbya sp."/>
    <x v="3"/>
    <n v="28"/>
    <n v="294195.71906354517"/>
    <n v="524045.40057296184"/>
  </r>
  <r>
    <s v="BARGE JCT."/>
    <d v="2022-01-08T00:00:00"/>
    <s v="Snowella sp."/>
    <x v="3"/>
    <n v="70"/>
    <n v="9014605.4519368727"/>
    <n v="3440903.6125226687"/>
  </r>
  <r>
    <s v="BARGE JCT."/>
    <d v="2022-01-08T00:00:00"/>
    <s v="cf. Nannochloropsis sp."/>
    <x v="4"/>
    <n v="16"/>
    <n v="2060481.2461569991"/>
    <n v="54647725.866387837"/>
  </r>
  <r>
    <s v="BARGE JCT."/>
    <d v="2022-01-08T00:00:00"/>
    <s v="Ochromonas sp."/>
    <x v="4"/>
    <n v="5"/>
    <n v="643900.38942406222"/>
    <n v="59208086.303819388"/>
  </r>
  <r>
    <s v="BARGE JCT."/>
    <d v="2022-01-08T00:00:00"/>
    <s v="Gymnodinium sp."/>
    <x v="5"/>
    <n v="1"/>
    <n v="128780.07788481245"/>
    <n v="143704757.57413894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052"/>
    <d v="2022-03-08T00:00:00"/>
    <s v="Nitzschia sp."/>
    <x v="0"/>
    <n v="1"/>
    <n v="18029.210903873744"/>
    <n v="8021646.6614060253"/>
  </r>
  <r>
    <s v="052"/>
    <d v="2022-03-08T00:00:00"/>
    <s v="Chlorella sp."/>
    <x v="1"/>
    <n v="4"/>
    <n v="72116.843615494974"/>
    <n v="258997.61732008753"/>
  </r>
  <r>
    <s v="052"/>
    <d v="2022-03-08T00:00:00"/>
    <s v="Pedinomonas sp."/>
    <x v="1"/>
    <n v="4"/>
    <n v="72116.843615494974"/>
    <n v="828913.20825347153"/>
  </r>
  <r>
    <s v="052"/>
    <d v="2022-03-08T00:00:00"/>
    <s v="Teleaulax amphioxeia"/>
    <x v="2"/>
    <n v="4"/>
    <n v="72116.843615494974"/>
    <n v="5506352.0262552053"/>
  </r>
  <r>
    <s v="052"/>
    <d v="2022-03-08T00:00:00"/>
    <s v="Eucapsis microscopica"/>
    <x v="3"/>
    <n v="120"/>
    <n v="2163505.3084648494"/>
    <n v="579997.58011904731"/>
  </r>
  <r>
    <s v="052"/>
    <d v="2022-03-08T00:00:00"/>
    <s v="Pseudanabaena sp."/>
    <x v="3"/>
    <n v="8"/>
    <n v="84337.986577181218"/>
    <n v="212692.92748274567"/>
  </r>
  <r>
    <s v="052"/>
    <d v="2022-03-08T00:00:00"/>
    <s v="Snowella sp."/>
    <x v="3"/>
    <n v="7"/>
    <n v="126204.47632711619"/>
    <n v="48172.650575317355"/>
  </r>
  <r>
    <s v="052"/>
    <d v="2022-03-08T00:00:00"/>
    <s v="Chrysochromulina sp."/>
    <x v="4"/>
    <n v="3"/>
    <n v="54087.632711621227"/>
    <n v="1434502.8039926807"/>
  </r>
  <r>
    <s v="052"/>
    <d v="2022-03-08T00:00:00"/>
    <s v="cf. Nannochloropsis sp."/>
    <x v="5"/>
    <n v="8"/>
    <n v="144233.68723098995"/>
    <n v="3825340.8106471491"/>
  </r>
  <r>
    <s v="052"/>
    <d v="2022-03-08T00:00:00"/>
    <s v="Ochromonas sp."/>
    <x v="5"/>
    <n v="1"/>
    <n v="18029.210903873744"/>
    <n v="1657826.4165069431"/>
  </r>
  <r>
    <s v="052"/>
    <d v="2022-03-08T00:00:00"/>
    <s v="Ceratium sp."/>
    <x v="6"/>
    <n v="6"/>
    <n v="108175.26542324245"/>
    <n v="4561207850.4696331"/>
  </r>
  <r>
    <s v="052"/>
    <d v="2022-03-08T00:00:00"/>
    <s v="Protoperidinium sp."/>
    <x v="6"/>
    <n v="9"/>
    <n v="162262.8981348637"/>
    <n v="10106297541.274426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052"/>
    <d v="2022-01-08T00:00:00"/>
    <s v="cf. Chlorella sp."/>
    <x v="0"/>
    <n v="15"/>
    <n v="1126825.6814921091"/>
    <n v="4046837.770626368"/>
  </r>
  <r>
    <s v="052"/>
    <d v="2022-01-08T00:00:00"/>
    <s v="Pedinomonas sp."/>
    <x v="0"/>
    <n v="4"/>
    <n v="300486.84839789569"/>
    <n v="1079156.738833698"/>
  </r>
  <r>
    <s v="052"/>
    <d v="2022-01-08T00:00:00"/>
    <s v="Aphanocapsa sp."/>
    <x v="1"/>
    <n v="81"/>
    <n v="6084858.6800573878"/>
    <n v="2322609.9384528007"/>
  </r>
  <r>
    <s v="052"/>
    <d v="2022-01-08T00:00:00"/>
    <s v="Eucapsis microscopica"/>
    <x v="1"/>
    <n v="702"/>
    <n v="52735441.893830694"/>
    <n v="14137441.015401775"/>
  </r>
  <r>
    <s v="052"/>
    <d v="2022-01-08T00:00:00"/>
    <s v="Planktolyngbya sp."/>
    <x v="1"/>
    <n v="27"/>
    <n v="284640.70469798654"/>
    <n v="1171210.3967306453"/>
  </r>
  <r>
    <s v="052"/>
    <d v="2022-01-08T00:00:00"/>
    <s v="Chrysochromulina sp."/>
    <x v="2"/>
    <n v="3"/>
    <n v="225365.13629842177"/>
    <n v="5977095.0166361695"/>
  </r>
  <r>
    <s v="052"/>
    <d v="2022-01-08T00:00:00"/>
    <s v="cf. Nannochloropsis sp."/>
    <x v="3"/>
    <n v="26"/>
    <n v="1953164.514586322"/>
    <n v="99542965.760644302"/>
  </r>
  <r>
    <s v="052"/>
    <d v="2022-01-08T00:00:00"/>
    <s v="Ochromonas sp."/>
    <x v="3"/>
    <n v="5"/>
    <n v="375608.56049736962"/>
    <n v="89925663.763805449"/>
  </r>
  <r>
    <s v="052"/>
    <d v="2022-01-08T00:00:00"/>
    <s v="Protoperidinium sp."/>
    <x v="4"/>
    <n v="1"/>
    <n v="75121.712099473923"/>
    <n v="3440566602.2100015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CARS PARK"/>
    <d v="2022-03-08T00:00:00"/>
    <s v="Cylindrotheca closterium"/>
    <x v="0"/>
    <n v="1"/>
    <n v="60097.369679579155"/>
    <n v="9529336.3265251722"/>
  </r>
  <r>
    <s v="CARS PARK"/>
    <d v="2022-03-08T00:00:00"/>
    <s v="cf. Fragilaria sp."/>
    <x v="0"/>
    <n v="1"/>
    <n v="60097.369679579155"/>
    <n v="13691869.957758239"/>
  </r>
  <r>
    <s v="CARS PARK"/>
    <d v="2022-03-08T00:00:00"/>
    <s v="Nitzschia sp."/>
    <x v="0"/>
    <n v="3"/>
    <n v="180292.10903873746"/>
    <n v="5434635.1888091816"/>
  </r>
  <r>
    <s v="CARS PARK"/>
    <d v="2022-03-08T00:00:00"/>
    <s v="Skeletonema sp."/>
    <x v="0"/>
    <n v="1"/>
    <n v="60097.369679579155"/>
    <n v="12285677.90804253"/>
  </r>
  <r>
    <s v="CARS PARK"/>
    <d v="2022-03-08T00:00:00"/>
    <s v="cf. Thalassionema sp."/>
    <x v="0"/>
    <n v="1"/>
    <n v="60097.369679579155"/>
    <n v="71475484.486274511"/>
  </r>
  <r>
    <s v="CARS PARK"/>
    <d v="2022-03-08T00:00:00"/>
    <s v="Chlorella sp."/>
    <x v="1"/>
    <n v="18"/>
    <n v="1081752.6542324247"/>
    <n v="3884964.2598013133"/>
  </r>
  <r>
    <s v="CARS PARK"/>
    <d v="2022-03-08T00:00:00"/>
    <s v="Pedinomonas sp."/>
    <x v="1"/>
    <n v="6"/>
    <n v="360584.21807747491"/>
    <n v="4144566.0412673578"/>
  </r>
  <r>
    <s v="CARS PARK"/>
    <d v="2022-03-08T00:00:00"/>
    <s v="Teleaulax amphioxeia"/>
    <x v="2"/>
    <n v="1"/>
    <n v="60097.369679579155"/>
    <n v="6244602.8523559542"/>
  </r>
  <r>
    <s v="CARS PARK"/>
    <d v="2022-03-08T00:00:00"/>
    <s v="Aphanocapsa sp."/>
    <x v="3"/>
    <n v="215"/>
    <n v="12920934.481109519"/>
    <n v="4931961.8446158255"/>
  </r>
  <r>
    <s v="CARS PARK"/>
    <d v="2022-03-08T00:00:00"/>
    <s v="Chroococcus sp."/>
    <x v="3"/>
    <n v="4"/>
    <n v="240389.47871831662"/>
    <n v="863325.39106695855"/>
  </r>
  <r>
    <s v="CARS PARK"/>
    <d v="2022-03-08T00:00:00"/>
    <s v="cf. Cyanodictyon sp."/>
    <x v="3"/>
    <n v="8"/>
    <n v="480778.95743663324"/>
    <n v="183514.85933454233"/>
  </r>
  <r>
    <s v="CARS PARK"/>
    <d v="2022-03-08T00:00:00"/>
    <s v="Eucapsis microscopica"/>
    <x v="3"/>
    <n v="694"/>
    <n v="41707574.557627931"/>
    <n v="11181064.461183857"/>
  </r>
  <r>
    <s v="CARS PARK"/>
    <d v="2022-03-08T00:00:00"/>
    <s v="Snowella sp."/>
    <x v="3"/>
    <n v="96"/>
    <n v="5769347.4892395986"/>
    <n v="2202178.3120145081"/>
  </r>
  <r>
    <s v="CARS PARK"/>
    <d v="2022-03-08T00:00:00"/>
    <s v="Chrysochromulina sp."/>
    <x v="4"/>
    <n v="17"/>
    <n v="1021655.2845528456"/>
    <n v="27096164.07541731"/>
  </r>
  <r>
    <s v="CARS PARK"/>
    <d v="2022-03-08T00:00:00"/>
    <s v="cf. Nannochloropsis sp."/>
    <x v="5"/>
    <n v="11"/>
    <n v="661071.06647537067"/>
    <n v="27520211.785361111"/>
  </r>
  <r>
    <s v="CARS PARK"/>
    <d v="2022-03-08T00:00:00"/>
    <s v="Protoperidinium sp."/>
    <x v="6"/>
    <n v="1"/>
    <n v="60097.369679579155"/>
    <n v="2951198741.6195369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G5"/>
    <d v="2022-01-03T00:00:00"/>
    <s v="Skeletonema sp."/>
    <x v="0"/>
    <n v="2"/>
    <n v="163901.91730794313"/>
    <n v="13040934.581751645"/>
  </r>
  <r>
    <s v="G5"/>
    <d v="2022-01-03T00:00:00"/>
    <s v="Chlorella sp."/>
    <x v="1"/>
    <n v="15"/>
    <n v="1229264.3798095735"/>
    <n v="4414732.1134105837"/>
  </r>
  <r>
    <s v="G5"/>
    <d v="2022-01-03T00:00:00"/>
    <s v="Plagioselmis nannoplanctica"/>
    <x v="2"/>
    <n v="1"/>
    <n v="81950.958653971567"/>
    <n v="20544391.527291086"/>
  </r>
  <r>
    <s v="G5"/>
    <d v="2022-01-03T00:00:00"/>
    <s v="Teleaulax amphioxeia"/>
    <x v="2"/>
    <n v="1"/>
    <n v="81950.958653971567"/>
    <n v="13040934.581751645"/>
  </r>
  <r>
    <s v="G5"/>
    <d v="2022-01-03T00:00:00"/>
    <s v="Aphanocapsa sp."/>
    <x v="3"/>
    <n v="17"/>
    <n v="1393166.2971175166"/>
    <n v="531776.01284441247"/>
  </r>
  <r>
    <s v="G5"/>
    <d v="2022-01-03T00:00:00"/>
    <s v="Eucapsis microscopica"/>
    <x v="3"/>
    <n v="752"/>
    <n v="61627120.907786623"/>
    <n v="16521143.191269834"/>
  </r>
  <r>
    <s v="G5"/>
    <d v="2022-01-03T00:00:00"/>
    <s v="cf. Phormidium sp."/>
    <x v="3"/>
    <n v="60"/>
    <n v="4917057.5192382941"/>
    <n v="26488392.680463504"/>
  </r>
  <r>
    <s v="G5"/>
    <d v="2022-01-03T00:00:00"/>
    <s v="Planktolyngbya sp."/>
    <x v="3"/>
    <n v="40"/>
    <n v="3278038.3461588626"/>
    <n v="5839109.1606445275"/>
  </r>
  <r>
    <s v="G5"/>
    <d v="2022-01-03T00:00:00"/>
    <s v="Snowella sp."/>
    <x v="3"/>
    <n v="73"/>
    <n v="5982419.9817399252"/>
    <n v="2283508.7610377711"/>
  </r>
  <r>
    <s v="G5"/>
    <d v="2022-01-03T00:00:00"/>
    <s v="Nannochloropsis sp."/>
    <x v="4"/>
    <n v="8"/>
    <n v="655607.66923177254"/>
    <n v="27292772.018539947"/>
  </r>
  <r>
    <s v="G5"/>
    <d v="2022-01-03T00:00:00"/>
    <s v="Protoperidinium sp."/>
    <x v="5"/>
    <n v="9"/>
    <n v="737558.62788574421"/>
    <n v="1663900497.46185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36BAD-7963-8447-B6C2-3642F18EAE5D}" name="PivotTable1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C7:AD15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/>
    </i>
    <i>
      <x v="2"/>
    </i>
    <i>
      <x v="4"/>
    </i>
    <i>
      <x v="6"/>
    </i>
    <i>
      <x v="3"/>
    </i>
    <i>
      <x v="1"/>
    </i>
    <i t="grand">
      <x/>
    </i>
  </rowItems>
  <colItems count="1">
    <i/>
  </colItems>
  <dataFields count="1">
    <dataField name="Sum of 4.18E+06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0B0C5-0948-3149-9D2E-C584C41EE496}" name="PivotTable10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7:X13" firstHeaderRow="1" firstDataRow="1" firstDataCol="1"/>
  <pivotFields count="7">
    <pivotField showAll="0"/>
    <pivotField numFmtId="14" showAll="0"/>
    <pivotField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1.83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A865B-235B-6D4C-B001-2BCDB8A39E33}" name="PivotTable18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E7:AF15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 v="6"/>
    </i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Sum of 2.24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75BE6-B486-C64A-9514-447ED6E7247B}" name="PivotTable7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S7:T15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/>
    </i>
    <i>
      <x v="2"/>
    </i>
    <i>
      <x v="6"/>
    </i>
    <i>
      <x v="4"/>
    </i>
    <i>
      <x v="1"/>
    </i>
    <i>
      <x v="3"/>
    </i>
    <i t="grand">
      <x/>
    </i>
  </rowItems>
  <colItems count="1">
    <i/>
  </colItems>
  <dataFields count="1">
    <dataField name="Sum of 5.01E+06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1199A-3A55-4C65-8308-D81D05143909}" name="PivotTable11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66:K74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/>
    </i>
    <i>
      <x v="2"/>
    </i>
    <i>
      <x v="6"/>
    </i>
    <i>
      <x v="4"/>
    </i>
    <i>
      <x v="1"/>
    </i>
    <i>
      <x v="3"/>
    </i>
    <i t="grand">
      <x/>
    </i>
  </rowItems>
  <colItems count="1">
    <i/>
  </colItems>
  <dataFields count="1">
    <dataField name="Sum of 5.01E+06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EA390-D3E2-354C-8C83-3E6BDBE39387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7:V14" firstHeaderRow="1" firstDataRow="1" firstDataCol="1"/>
  <pivotFields count="7">
    <pivotField showAll="0"/>
    <pivotField numFmtId="14" showAll="0"/>
    <pivotField showAll="0"/>
    <pivotField axis="axisRow" showAll="0">
      <items count="7">
        <item x="0"/>
        <item x="1"/>
        <item x="2"/>
        <item x="3"/>
        <item x="5"/>
        <item x="4"/>
        <item t="default"/>
      </items>
    </pivotField>
    <pivotField showAll="0"/>
    <pivotField numFmtId="11" showAll="0"/>
    <pivotField dataField="1" numFmtId="11" showAll="0"/>
  </pivotFields>
  <rowFields count="1">
    <field x="3"/>
  </rowFields>
  <rowItems count="7">
    <i>
      <x v="1"/>
    </i>
    <i>
      <x v="4"/>
    </i>
    <i>
      <x v="5"/>
    </i>
    <i>
      <x v="3"/>
    </i>
    <i>
      <x v="2"/>
    </i>
    <i>
      <x/>
    </i>
    <i t="grand">
      <x/>
    </i>
  </rowItems>
  <colItems count="1">
    <i/>
  </colItems>
  <dataFields count="1">
    <dataField name="Sum of 4.10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5D0E0-68A1-496F-BF54-135DBB7355A8}" name="PivotTable2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99:K207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/>
    </i>
    <i>
      <x v="6"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Sum of 7.92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16973-ACBA-C141-8232-D9C0D5A373CC}" name="PivotTable1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Y7:Z14" firstHeaderRow="1" firstDataRow="1" firstDataCol="1"/>
  <pivotFields count="7">
    <pivotField showAll="0"/>
    <pivotField numFmtId="14" showAll="0"/>
    <pivotField showAll="0"/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7">
    <i>
      <x v="4"/>
    </i>
    <i>
      <x v="3"/>
    </i>
    <i>
      <x v="2"/>
    </i>
    <i>
      <x v="5"/>
    </i>
    <i>
      <x/>
    </i>
    <i>
      <x v="1"/>
    </i>
    <i t="grand">
      <x/>
    </i>
  </rowItems>
  <colItems count="1">
    <i/>
  </colItems>
  <dataFields count="1">
    <dataField name="Sum of 2.83E+08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F0CDE0-69C4-1F4F-B576-9DDDB1603A4E}" name="PivotTable2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I7:AJ15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/>
    </i>
    <i>
      <x v="6"/>
    </i>
    <i>
      <x v="2"/>
    </i>
    <i>
      <x v="3"/>
    </i>
    <i>
      <x v="4"/>
    </i>
    <i>
      <x v="1"/>
    </i>
    <i t="grand">
      <x/>
    </i>
  </rowItems>
  <colItems count="1">
    <i/>
  </colItems>
  <dataFields count="1">
    <dataField name="Sum of 7.92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32625-0577-B14A-A196-6325E3C4F9A6}" name="PivotTable14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A7:AB15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5"/>
        <item x="6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1"/>
    </i>
    <i>
      <x v="6"/>
    </i>
    <i>
      <x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Sum of 5.74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1BAE0-3B7D-FD41-97B7-79316F2B609F}" name="PivotTable2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G7:AH15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5"/>
        <item x="6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1"/>
    </i>
    <i>
      <x v="6"/>
    </i>
    <i>
      <x/>
    </i>
    <i>
      <x v="5"/>
    </i>
    <i>
      <x v="3"/>
    </i>
    <i>
      <x v="2"/>
    </i>
    <i>
      <x v="4"/>
    </i>
    <i t="grand">
      <x/>
    </i>
  </rowItems>
  <colItems count="1">
    <i/>
  </colItems>
  <dataFields count="1">
    <dataField name="Sum of 2.49E+06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90A31-CF77-4383-9504-50DF78604C07}" name="PivotTable1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96:J102" firstHeaderRow="1" firstDataRow="1" firstDataCol="1"/>
  <pivotFields count="7">
    <pivotField showAll="0"/>
    <pivotField numFmtId="14" showAll="0"/>
    <pivotField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1.83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45610-2FB6-4F10-9773-2391C938C2D5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79:J86" firstHeaderRow="1" firstDataRow="1" firstDataCol="1"/>
  <pivotFields count="7">
    <pivotField showAll="0"/>
    <pivotField numFmtId="14" showAll="0"/>
    <pivotField showAll="0"/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7">
    <i>
      <x v="1"/>
    </i>
    <i>
      <x v="4"/>
    </i>
    <i>
      <x v="5"/>
    </i>
    <i>
      <x v="3"/>
    </i>
    <i>
      <x v="2"/>
    </i>
    <i>
      <x/>
    </i>
    <i t="grand">
      <x/>
    </i>
  </rowItems>
  <colItems count="1">
    <i/>
  </colItems>
  <dataFields count="1">
    <dataField name="Sum of 4.10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8B130-AC3E-4823-AE67-30DC72F21612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6:I33" firstHeaderRow="1" firstDataRow="1" firstDataCol="1"/>
  <pivotFields count="7">
    <pivotField showAll="0"/>
    <pivotField numFmtId="14" showAll="0"/>
    <pivotField showAll="0"/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7">
    <i>
      <x v="4"/>
    </i>
    <i>
      <x/>
    </i>
    <i>
      <x v="3"/>
    </i>
    <i>
      <x v="2"/>
    </i>
    <i>
      <x v="5"/>
    </i>
    <i>
      <x v="1"/>
    </i>
    <i t="grand">
      <x/>
    </i>
  </rowItems>
  <colItems count="1">
    <i/>
  </colItems>
  <dataFields count="1">
    <dataField name="Sum of 1.81E+07" fld="6" baseField="0" baseItem="0"/>
  </dataFields>
  <formats count="1">
    <format dxfId="5">
      <pivotArea collapsedLevelsAreSubtotals="1" fieldPosition="0">
        <references count="1">
          <reference field="3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78EA7F-10B6-4C22-B449-46AF72B30A47}" name="PivotTable1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124:I132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5"/>
        <item x="6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1"/>
    </i>
    <i>
      <x v="6"/>
    </i>
    <i>
      <x/>
    </i>
    <i>
      <x v="2"/>
    </i>
    <i>
      <x v="3"/>
    </i>
    <i>
      <x v="5"/>
    </i>
    <i>
      <x v="4"/>
    </i>
    <i t="grand">
      <x/>
    </i>
  </rowItems>
  <colItems count="1">
    <i/>
  </colItems>
  <dataFields count="1">
    <dataField name="Sum of 5.74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D8B56-0D26-4898-9DC1-E643AF86D7B9}" name="PivotTable2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75:J183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5"/>
        <item x="6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1"/>
    </i>
    <i>
      <x v="6"/>
    </i>
    <i>
      <x/>
    </i>
    <i>
      <x v="5"/>
    </i>
    <i>
      <x v="3"/>
    </i>
    <i>
      <x v="2"/>
    </i>
    <i>
      <x v="4"/>
    </i>
    <i t="grand">
      <x/>
    </i>
  </rowItems>
  <colItems count="1">
    <i/>
  </colItems>
  <dataFields count="1">
    <dataField name="Sum of 2.49E+06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BFD94-FB0E-4E01-AA45-6A998060BD1D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8:I17" firstHeaderRow="1" firstDataRow="1" firstDataCol="1"/>
  <pivotFields count="7">
    <pivotField showAll="0"/>
    <pivotField numFmtId="14" showAll="0"/>
    <pivotField showAll="0"/>
    <pivotField axis="axisRow" showAll="0" sortType="descending">
      <items count="9">
        <item x="0"/>
        <item x="1"/>
        <item x="2"/>
        <item x="3"/>
        <item x="5"/>
        <item x="4"/>
        <item f="1" x="6"/>
        <item f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9">
    <i>
      <x/>
    </i>
    <i>
      <x v="4"/>
    </i>
    <i>
      <x v="5"/>
    </i>
    <i>
      <x v="2"/>
    </i>
    <i>
      <x v="3"/>
    </i>
    <i>
      <x v="1"/>
    </i>
    <i>
      <x v="7"/>
    </i>
    <i>
      <x v="6"/>
    </i>
    <i t="grand">
      <x/>
    </i>
  </rowItems>
  <colItems count="1">
    <i/>
  </colItems>
  <dataFields count="1">
    <dataField name="Sum of Total BVum3/L" fld="6" baseField="0" baseItem="0"/>
  </dataFields>
  <formats count="1">
    <format dxfId="6">
      <pivotArea collapsedLevelsAreSubtotals="1" fieldPosition="0">
        <references count="1">
          <reference field="3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3DEA6-9D8A-487E-8842-C9F17D4D6DDD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49:J57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 v="3"/>
    </i>
    <i>
      <x v="6"/>
    </i>
    <i>
      <x v="2"/>
    </i>
    <i>
      <x/>
    </i>
    <i>
      <x v="4"/>
    </i>
    <i>
      <x v="1"/>
    </i>
    <i t="grand">
      <x/>
    </i>
  </rowItems>
  <colItems count="1">
    <i/>
  </colItems>
  <dataFields count="1">
    <dataField name="Sum of 4.93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AFDFD-AA0D-4ACF-9DCA-96D77BE01632}" name="PivotTable23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60:J168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 v="6"/>
    </i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Sum of 2.24E+07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11086-74E3-40B2-AF22-CCB1337333EE}" name="PivotTable2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143:K151" firstHeaderRow="1" firstDataRow="1" firstDataCol="1"/>
  <pivotFields count="7">
    <pivotField showAll="0"/>
    <pivotField numFmtId="14" showAll="0"/>
    <pivotField showAll="0"/>
    <pivotField axis="axisRow" showAll="0" sortType="descending">
      <items count="8">
        <item x="0"/>
        <item x="1"/>
        <item x="2"/>
        <item x="3"/>
        <item x="4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8">
    <i>
      <x v="5"/>
    </i>
    <i>
      <x/>
    </i>
    <i>
      <x v="2"/>
    </i>
    <i>
      <x v="4"/>
    </i>
    <i>
      <x v="6"/>
    </i>
    <i>
      <x v="3"/>
    </i>
    <i>
      <x v="1"/>
    </i>
    <i t="grand">
      <x/>
    </i>
  </rowItems>
  <colItems count="1">
    <i/>
  </colItems>
  <dataFields count="1">
    <dataField name="Sum of 4.18E+06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9C19B-ACDD-40E1-BC60-C42482F42DBA}" name="PivotTable1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109:J116" firstHeaderRow="1" firstDataRow="1" firstDataCol="1"/>
  <pivotFields count="7">
    <pivotField showAll="0"/>
    <pivotField numFmtId="14" showAll="0"/>
    <pivotField showAll="0"/>
    <pivotField axis="axisRow" showAll="0" sortType="descending">
      <items count="7">
        <item x="0"/>
        <item x="1"/>
        <item x="2"/>
        <item x="3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1" showAll="0"/>
    <pivotField dataField="1" numFmtId="11" showAll="0"/>
  </pivotFields>
  <rowFields count="1">
    <field x="3"/>
  </rowFields>
  <rowItems count="7">
    <i>
      <x v="4"/>
    </i>
    <i>
      <x v="3"/>
    </i>
    <i>
      <x v="2"/>
    </i>
    <i>
      <x v="5"/>
    </i>
    <i>
      <x/>
    </i>
    <i>
      <x v="1"/>
    </i>
    <i t="grand">
      <x/>
    </i>
  </rowItems>
  <colItems count="1">
    <i/>
  </colItems>
  <dataFields count="1">
    <dataField name="Sum of 2.83E+08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1D0EA3-054F-4D40-8BDB-2C6733B200A9}" name="Table14" displayName="Table14" ref="M29:S31" totalsRowShown="0">
  <autoFilter ref="M29:S31" xr:uid="{191D0EA3-054F-4D40-8BDB-2C6733B200A9}"/>
  <tableColumns count="7">
    <tableColumn id="1" xr3:uid="{6355E250-D6B8-4BA2-B7A2-EC01CFB6D29C}" name="052"/>
    <tableColumn id="2" xr3:uid="{DB913B5F-D4FB-4CF6-BC05-458949ED1393}" name="3/8/2022" dataDxfId="0"/>
    <tableColumn id="3" xr3:uid="{E7A0DDBA-52E2-4C8A-AE86-16D9F920973C}" name="Cylindrotheca closterium"/>
    <tableColumn id="4" xr3:uid="{7D64B1A0-9917-44DC-B736-CA25F1BBE379}" name="Bacillariophyta"/>
    <tableColumn id="5" xr3:uid="{DC786C39-FA12-4D9B-B947-8F7D01596FA8}" name="2"/>
    <tableColumn id="6" xr3:uid="{E80E9508-7835-454D-8B16-90ED7F28A24D}" name="3.61E+04"/>
    <tableColumn id="7" xr3:uid="{00E908F5-D453-40A5-B0A1-4CBAD040A0AD}" name="5.01E+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0CA34-9B4F-4CBB-90CA-AC41EB514778}" name="Table13" displayName="Table13" ref="A1:B69" totalsRowShown="0" headerRowDxfId="4" dataDxfId="3">
  <autoFilter ref="A1:B69" xr:uid="{3FE65927-C883-4E51-BD29-635D6C554C19}"/>
  <tableColumns count="2">
    <tableColumn id="1" xr3:uid="{9DD775CB-500F-4DA0-A35F-A4D546FBACE8}" name="Pigment" dataDxfId="2"/>
    <tableColumn id="2" xr3:uid="{475D82BE-5C87-41BF-AA28-1A3A353E08E4}" name="Mineral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drawing" Target="../drawings/drawing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AE72-F92D-4BF5-8DEB-DCC6C121A1C7}">
  <sheetPr codeName="Sheet1"/>
  <dimension ref="A1:J14"/>
  <sheetViews>
    <sheetView zoomScale="85" zoomScaleNormal="85" workbookViewId="0">
      <selection activeCell="I14" sqref="I14"/>
    </sheetView>
  </sheetViews>
  <sheetFormatPr defaultColWidth="8.85546875" defaultRowHeight="15" x14ac:dyDescent="0.25"/>
  <cols>
    <col min="1" max="1" width="18" customWidth="1"/>
    <col min="2" max="10" width="13" customWidth="1"/>
  </cols>
  <sheetData>
    <row r="1" spans="1:10" s="46" customFormat="1" ht="45" x14ac:dyDescent="0.25">
      <c r="A1" s="46" t="s">
        <v>0</v>
      </c>
      <c r="B1" s="46" t="s">
        <v>142</v>
      </c>
      <c r="C1" s="46" t="s">
        <v>143</v>
      </c>
      <c r="D1" s="46" t="s">
        <v>144</v>
      </c>
      <c r="E1" s="46" t="s">
        <v>145</v>
      </c>
      <c r="F1" s="46" t="s">
        <v>146</v>
      </c>
      <c r="G1" s="46" t="s">
        <v>147</v>
      </c>
      <c r="H1" s="46" t="s">
        <v>148</v>
      </c>
      <c r="I1" s="46" t="s">
        <v>149</v>
      </c>
      <c r="J1" s="46" t="s">
        <v>150</v>
      </c>
    </row>
    <row r="2" spans="1:10" x14ac:dyDescent="0.25">
      <c r="A2">
        <v>443.9</v>
      </c>
      <c r="B2">
        <v>-0.37941578139999999</v>
      </c>
      <c r="C2">
        <v>0.5747918621</v>
      </c>
      <c r="D2">
        <v>-0.39114996359999998</v>
      </c>
      <c r="E2">
        <v>0.33498616590000002</v>
      </c>
      <c r="F2">
        <v>-0.38109025029999999</v>
      </c>
      <c r="G2">
        <v>0.31603196589999999</v>
      </c>
      <c r="H2">
        <v>0.6273403139</v>
      </c>
      <c r="I2">
        <v>0.35732171369999999</v>
      </c>
      <c r="J2">
        <v>0.98466202759999999</v>
      </c>
    </row>
    <row r="3" spans="1:10" x14ac:dyDescent="0.25">
      <c r="A3">
        <v>496.6</v>
      </c>
      <c r="B3">
        <v>2.473390097E-2</v>
      </c>
      <c r="C3">
        <v>0.84943710059999999</v>
      </c>
      <c r="D3">
        <v>1.839573483E-2</v>
      </c>
      <c r="E3">
        <v>0.23444355159999999</v>
      </c>
      <c r="F3">
        <v>-0.13118672619999999</v>
      </c>
      <c r="G3">
        <v>-0.4403222819</v>
      </c>
      <c r="H3">
        <v>0.72249355689999994</v>
      </c>
      <c r="I3">
        <v>0.26605744799999997</v>
      </c>
      <c r="J3">
        <v>0.98855100490000003</v>
      </c>
    </row>
    <row r="4" spans="1:10" x14ac:dyDescent="0.25">
      <c r="A4">
        <v>560</v>
      </c>
      <c r="B4">
        <v>-0.63951110030000002</v>
      </c>
      <c r="C4">
        <v>0.59947570409999995</v>
      </c>
      <c r="D4">
        <v>-0.3728885448</v>
      </c>
      <c r="E4">
        <v>4.7457965749999999E-3</v>
      </c>
      <c r="F4">
        <v>0.203406793</v>
      </c>
      <c r="G4">
        <v>3.1855981390000003E-2</v>
      </c>
      <c r="H4">
        <v>0.907391434</v>
      </c>
      <c r="I4">
        <v>4.241164956E-2</v>
      </c>
      <c r="J4">
        <v>0.94980308359999999</v>
      </c>
    </row>
    <row r="5" spans="1:10" x14ac:dyDescent="0.25">
      <c r="A5">
        <v>664.5</v>
      </c>
      <c r="B5">
        <v>-0.70989373389999999</v>
      </c>
      <c r="C5">
        <v>0.56412464760000003</v>
      </c>
      <c r="D5">
        <v>6.0256978179999997E-2</v>
      </c>
      <c r="E5">
        <v>-6.923464E-2</v>
      </c>
      <c r="F5">
        <v>0.36488559790000002</v>
      </c>
      <c r="G5">
        <v>3.372918548E-2</v>
      </c>
      <c r="H5">
        <v>0.82581663490000001</v>
      </c>
      <c r="I5">
        <v>0.13907259290000001</v>
      </c>
      <c r="J5">
        <v>0.96488922779999997</v>
      </c>
    </row>
    <row r="6" spans="1:10" x14ac:dyDescent="0.25">
      <c r="A6">
        <v>703.9</v>
      </c>
      <c r="B6">
        <v>-0.54427643869999998</v>
      </c>
      <c r="C6">
        <v>0.14796275649999999</v>
      </c>
      <c r="D6">
        <v>0.78480971310000003</v>
      </c>
      <c r="E6">
        <v>0.12681039720000001</v>
      </c>
      <c r="F6">
        <v>6.7530956259999997E-2</v>
      </c>
      <c r="G6">
        <v>-3.6197524809999999E-2</v>
      </c>
      <c r="H6">
        <v>0.93405610490000002</v>
      </c>
      <c r="I6">
        <v>2.1951567679999999E-2</v>
      </c>
      <c r="J6">
        <v>0.95600767259999997</v>
      </c>
    </row>
    <row r="7" spans="1:10" x14ac:dyDescent="0.25">
      <c r="A7">
        <v>740.2</v>
      </c>
      <c r="B7">
        <v>-0.19913197530000001</v>
      </c>
      <c r="C7">
        <v>5.5267539460000001E-2</v>
      </c>
      <c r="D7">
        <v>0.92476521710000004</v>
      </c>
      <c r="E7">
        <v>0.24807011379999999</v>
      </c>
      <c r="F7">
        <v>-8.2238309159999995E-2</v>
      </c>
      <c r="G7">
        <v>5.7845089349999997E-2</v>
      </c>
      <c r="H7">
        <v>0.89789875119999996</v>
      </c>
      <c r="I7">
        <v>7.1647975210000006E-2</v>
      </c>
      <c r="J7">
        <v>0.96954672639999995</v>
      </c>
    </row>
    <row r="8" spans="1:10" x14ac:dyDescent="0.25">
      <c r="A8">
        <v>782.5</v>
      </c>
      <c r="B8">
        <v>0.90253446500000001</v>
      </c>
      <c r="C8">
        <v>4.0141828690000003E-3</v>
      </c>
      <c r="D8">
        <v>0.296887073</v>
      </c>
      <c r="E8">
        <v>0.13977586980000001</v>
      </c>
      <c r="F8">
        <v>7.0101485510000006E-2</v>
      </c>
      <c r="G8">
        <v>0.15295540520000001</v>
      </c>
      <c r="H8">
        <v>0.9027265082</v>
      </c>
      <c r="I8">
        <v>4.7846868020000002E-2</v>
      </c>
      <c r="J8">
        <v>0.95057337620000004</v>
      </c>
    </row>
    <row r="9" spans="1:10" x14ac:dyDescent="0.25">
      <c r="A9">
        <v>835.1</v>
      </c>
      <c r="B9">
        <v>0.87333103170000004</v>
      </c>
      <c r="C9">
        <v>9.6930826230000003E-2</v>
      </c>
      <c r="D9">
        <v>-0.32705496610000001</v>
      </c>
      <c r="E9">
        <v>8.2191813929999996E-2</v>
      </c>
      <c r="F9">
        <v>0.2349118828</v>
      </c>
      <c r="G9">
        <v>3.1164293280000002E-2</v>
      </c>
      <c r="H9">
        <v>0.87906762689999995</v>
      </c>
      <c r="I9">
        <v>6.2910300160000002E-2</v>
      </c>
      <c r="J9">
        <v>0.94197792700000005</v>
      </c>
    </row>
    <row r="10" spans="1:10" x14ac:dyDescent="0.25">
      <c r="A10">
        <v>864.8</v>
      </c>
      <c r="B10">
        <v>7.4736619369999997E-3</v>
      </c>
      <c r="C10">
        <v>0.68457047609999999</v>
      </c>
      <c r="D10">
        <v>0.36411918799999998</v>
      </c>
      <c r="E10">
        <v>-0.57916877320000004</v>
      </c>
      <c r="F10">
        <v>-3.7679836129999998E-2</v>
      </c>
      <c r="G10">
        <v>0.2231666309</v>
      </c>
      <c r="H10">
        <v>0.60127537539999998</v>
      </c>
      <c r="I10">
        <v>0.38665958299999997</v>
      </c>
      <c r="J10">
        <v>0.98793495840000001</v>
      </c>
    </row>
    <row r="11" spans="1:10" x14ac:dyDescent="0.25">
      <c r="A11" t="s">
        <v>1</v>
      </c>
      <c r="B11">
        <v>3.6799943439999998</v>
      </c>
      <c r="C11">
        <v>2.114154986</v>
      </c>
      <c r="D11">
        <v>1.503916976</v>
      </c>
      <c r="E11">
        <v>0.69987542960000004</v>
      </c>
      <c r="F11">
        <v>0.42814619500000001</v>
      </c>
      <c r="G11">
        <v>0.26785807360000002</v>
      </c>
      <c r="H11" t="s">
        <v>2</v>
      </c>
      <c r="I11">
        <v>8.6939460040000007</v>
      </c>
    </row>
    <row r="12" spans="1:10" x14ac:dyDescent="0.25">
      <c r="A12" t="s">
        <v>3</v>
      </c>
      <c r="B12">
        <v>0.33007927269999998</v>
      </c>
      <c r="C12">
        <v>0.24805919160000001</v>
      </c>
      <c r="D12">
        <v>0.23275779199999999</v>
      </c>
      <c r="E12">
        <v>6.7927153589999997E-2</v>
      </c>
      <c r="F12">
        <v>4.5532967719999998E-2</v>
      </c>
      <c r="G12">
        <v>4.163762293E-2</v>
      </c>
      <c r="H12" t="s">
        <v>2</v>
      </c>
      <c r="I12">
        <v>0.96599400049999995</v>
      </c>
    </row>
    <row r="13" spans="1:10" x14ac:dyDescent="0.25">
      <c r="A13" t="s">
        <v>3</v>
      </c>
      <c r="B13">
        <v>0.33</v>
      </c>
      <c r="C13">
        <v>0.25</v>
      </c>
      <c r="D13">
        <v>0.23</v>
      </c>
      <c r="E13">
        <v>7.0000000000000007E-2</v>
      </c>
      <c r="F13">
        <v>0.05</v>
      </c>
      <c r="G13">
        <v>0.04</v>
      </c>
    </row>
    <row r="14" spans="1:10" x14ac:dyDescent="0.25">
      <c r="A14" t="s">
        <v>4</v>
      </c>
      <c r="B14">
        <v>0.34169909180000002</v>
      </c>
      <c r="C14">
        <v>0.2567916482</v>
      </c>
      <c r="D14">
        <v>0.2409515917</v>
      </c>
      <c r="E14">
        <v>7.0318401099999997E-2</v>
      </c>
      <c r="F14">
        <v>4.7135870099999998E-2</v>
      </c>
      <c r="G14">
        <v>4.3103397029999997E-2</v>
      </c>
      <c r="H14" t="s">
        <v>2</v>
      </c>
      <c r="I14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29FB-7A61-4262-9FD0-FB0B5CDF6F2E}">
  <sheetPr codeName="Sheet2"/>
  <dimension ref="A1:EY17"/>
  <sheetViews>
    <sheetView topLeftCell="A8" zoomScale="55" zoomScaleNormal="55" workbookViewId="0">
      <selection activeCell="AI14" sqref="AI14"/>
    </sheetView>
  </sheetViews>
  <sheetFormatPr defaultColWidth="11.42578125" defaultRowHeight="15" x14ac:dyDescent="0.25"/>
  <cols>
    <col min="26" max="26" width="10.42578125" customWidth="1"/>
    <col min="27" max="76" width="19.85546875" bestFit="1" customWidth="1"/>
  </cols>
  <sheetData>
    <row r="1" spans="1:155" s="46" customFormat="1" ht="105" x14ac:dyDescent="0.25">
      <c r="A1" s="46" t="s">
        <v>227</v>
      </c>
      <c r="B1" s="46" t="s">
        <v>228</v>
      </c>
      <c r="C1" s="46" t="s">
        <v>229</v>
      </c>
      <c r="D1" s="46" t="s">
        <v>230</v>
      </c>
      <c r="E1" s="46" t="s">
        <v>231</v>
      </c>
      <c r="F1" s="46" t="s">
        <v>232</v>
      </c>
      <c r="G1" s="46" t="s">
        <v>233</v>
      </c>
      <c r="H1" s="46" t="s">
        <v>234</v>
      </c>
      <c r="I1" s="46" t="s">
        <v>235</v>
      </c>
      <c r="J1" s="46" t="s">
        <v>236</v>
      </c>
      <c r="K1" s="46" t="s">
        <v>237</v>
      </c>
      <c r="L1" s="46" t="s">
        <v>238</v>
      </c>
      <c r="M1" s="46" t="s">
        <v>239</v>
      </c>
      <c r="N1" s="46" t="s">
        <v>240</v>
      </c>
      <c r="O1" s="46" t="s">
        <v>241</v>
      </c>
      <c r="P1" s="46" t="s">
        <v>242</v>
      </c>
      <c r="Q1" s="46" t="s">
        <v>243</v>
      </c>
      <c r="R1" s="46" t="s">
        <v>244</v>
      </c>
      <c r="S1" s="46" t="s">
        <v>245</v>
      </c>
      <c r="T1" s="46" t="s">
        <v>246</v>
      </c>
      <c r="U1" s="46" t="s">
        <v>227</v>
      </c>
      <c r="V1" s="46" t="s">
        <v>247</v>
      </c>
      <c r="W1" s="46" t="s">
        <v>248</v>
      </c>
      <c r="X1" s="46" t="s">
        <v>249</v>
      </c>
      <c r="Y1" s="46" t="s">
        <v>250</v>
      </c>
      <c r="Z1" s="46" t="s">
        <v>251</v>
      </c>
      <c r="AA1" s="46" t="s">
        <v>252</v>
      </c>
      <c r="AB1" s="46" t="s">
        <v>253</v>
      </c>
      <c r="AC1" s="46" t="s">
        <v>254</v>
      </c>
      <c r="AD1" s="46" t="s">
        <v>255</v>
      </c>
      <c r="AE1" s="46" t="s">
        <v>256</v>
      </c>
      <c r="AF1" s="46" t="s">
        <v>257</v>
      </c>
      <c r="AG1" s="46" t="s">
        <v>258</v>
      </c>
      <c r="AH1" s="46" t="s">
        <v>259</v>
      </c>
      <c r="AI1" s="46" t="s">
        <v>260</v>
      </c>
      <c r="AJ1" s="46" t="s">
        <v>261</v>
      </c>
      <c r="AK1" s="46" t="s">
        <v>262</v>
      </c>
      <c r="AL1" s="46" t="s">
        <v>263</v>
      </c>
      <c r="AM1" s="46" t="s">
        <v>264</v>
      </c>
      <c r="AN1" s="46" t="s">
        <v>265</v>
      </c>
      <c r="AO1" s="46" t="s">
        <v>266</v>
      </c>
      <c r="AP1" s="46" t="s">
        <v>267</v>
      </c>
      <c r="AQ1" s="46" t="s">
        <v>268</v>
      </c>
      <c r="AR1" s="46" t="s">
        <v>269</v>
      </c>
      <c r="AS1" s="46" t="s">
        <v>270</v>
      </c>
      <c r="AT1" s="46" t="s">
        <v>271</v>
      </c>
      <c r="AU1" s="46" t="s">
        <v>272</v>
      </c>
      <c r="AV1" s="46" t="s">
        <v>273</v>
      </c>
      <c r="AW1" s="46" t="s">
        <v>274</v>
      </c>
      <c r="AX1" s="46" t="s">
        <v>275</v>
      </c>
      <c r="AY1" s="46" t="s">
        <v>276</v>
      </c>
      <c r="AZ1" s="46" t="s">
        <v>277</v>
      </c>
      <c r="BA1" s="46" t="s">
        <v>278</v>
      </c>
      <c r="BB1" s="46" t="s">
        <v>279</v>
      </c>
      <c r="BC1" s="46" t="s">
        <v>280</v>
      </c>
      <c r="BD1" s="46" t="s">
        <v>281</v>
      </c>
      <c r="BE1" s="46" t="s">
        <v>282</v>
      </c>
      <c r="BF1" s="46" t="s">
        <v>283</v>
      </c>
      <c r="BG1" s="46" t="s">
        <v>284</v>
      </c>
      <c r="BH1" s="46" t="s">
        <v>285</v>
      </c>
      <c r="BI1" s="46" t="s">
        <v>286</v>
      </c>
      <c r="BJ1" s="46" t="s">
        <v>287</v>
      </c>
      <c r="BK1" s="46" t="s">
        <v>288</v>
      </c>
      <c r="BL1" s="46" t="s">
        <v>289</v>
      </c>
      <c r="BM1" s="46" t="s">
        <v>290</v>
      </c>
      <c r="BN1" s="46" t="s">
        <v>291</v>
      </c>
      <c r="BO1" s="46" t="s">
        <v>292</v>
      </c>
      <c r="BP1" s="46" t="s">
        <v>293</v>
      </c>
      <c r="BQ1" s="46" t="s">
        <v>294</v>
      </c>
      <c r="BR1" s="46" t="s">
        <v>295</v>
      </c>
      <c r="BS1" s="46" t="s">
        <v>296</v>
      </c>
      <c r="BT1" s="46" t="s">
        <v>297</v>
      </c>
      <c r="BU1" s="46" t="s">
        <v>298</v>
      </c>
      <c r="BV1" s="46" t="s">
        <v>299</v>
      </c>
      <c r="BW1" s="46" t="s">
        <v>300</v>
      </c>
      <c r="BX1" s="46" t="s">
        <v>301</v>
      </c>
      <c r="BY1" s="46" t="s">
        <v>302</v>
      </c>
      <c r="BZ1" s="46" t="s">
        <v>303</v>
      </c>
      <c r="CA1" s="46" t="s">
        <v>304</v>
      </c>
      <c r="CB1" s="46" t="s">
        <v>305</v>
      </c>
      <c r="CC1" s="46" t="s">
        <v>306</v>
      </c>
      <c r="CD1" s="46" t="s">
        <v>307</v>
      </c>
      <c r="CE1" s="46" t="s">
        <v>308</v>
      </c>
      <c r="CF1" s="46" t="s">
        <v>309</v>
      </c>
      <c r="CG1" s="46" t="s">
        <v>310</v>
      </c>
      <c r="CH1" s="46" t="s">
        <v>311</v>
      </c>
      <c r="CI1" s="46" t="s">
        <v>312</v>
      </c>
      <c r="CJ1" s="46" t="s">
        <v>313</v>
      </c>
      <c r="CK1" s="46" t="s">
        <v>314</v>
      </c>
      <c r="CL1" s="46" t="s">
        <v>315</v>
      </c>
      <c r="CM1" s="46" t="s">
        <v>316</v>
      </c>
      <c r="CN1" s="46" t="s">
        <v>317</v>
      </c>
      <c r="CO1" s="46" t="s">
        <v>318</v>
      </c>
      <c r="CP1" s="46" t="s">
        <v>319</v>
      </c>
      <c r="CQ1" s="46" t="s">
        <v>320</v>
      </c>
      <c r="CR1" s="46" t="s">
        <v>321</v>
      </c>
      <c r="CS1" s="46" t="s">
        <v>322</v>
      </c>
      <c r="CT1" s="46" t="s">
        <v>323</v>
      </c>
      <c r="CU1" s="46" t="s">
        <v>324</v>
      </c>
      <c r="CV1" s="46" t="s">
        <v>325</v>
      </c>
      <c r="CW1" s="46" t="s">
        <v>326</v>
      </c>
      <c r="CX1" s="46" t="s">
        <v>327</v>
      </c>
      <c r="CY1" s="46" t="s">
        <v>328</v>
      </c>
      <c r="CZ1" s="46" t="s">
        <v>329</v>
      </c>
      <c r="DA1" s="46" t="s">
        <v>330</v>
      </c>
      <c r="DB1" s="46" t="s">
        <v>331</v>
      </c>
      <c r="DC1" s="46" t="s">
        <v>332</v>
      </c>
      <c r="DD1" s="46" t="s">
        <v>333</v>
      </c>
      <c r="DE1" s="46" t="s">
        <v>334</v>
      </c>
      <c r="DF1" s="46" t="s">
        <v>335</v>
      </c>
      <c r="DG1" s="46" t="s">
        <v>336</v>
      </c>
      <c r="DH1" s="46" t="s">
        <v>337</v>
      </c>
      <c r="DI1" s="46" t="s">
        <v>338</v>
      </c>
      <c r="DJ1" s="46" t="s">
        <v>339</v>
      </c>
      <c r="DK1" s="46" t="s">
        <v>340</v>
      </c>
      <c r="DL1" s="46" t="s">
        <v>341</v>
      </c>
      <c r="DM1" s="46" t="s">
        <v>342</v>
      </c>
      <c r="DN1" t="s">
        <v>343</v>
      </c>
      <c r="DO1" t="s">
        <v>344</v>
      </c>
      <c r="DP1" t="s">
        <v>345</v>
      </c>
      <c r="DQ1" t="s">
        <v>346</v>
      </c>
      <c r="DR1" t="s">
        <v>347</v>
      </c>
      <c r="DS1" s="46" t="s">
        <v>348</v>
      </c>
      <c r="DT1" s="46" t="s">
        <v>349</v>
      </c>
      <c r="DU1" s="46" t="s">
        <v>350</v>
      </c>
      <c r="DV1" s="46" t="s">
        <v>351</v>
      </c>
      <c r="DW1" s="46" t="s">
        <v>352</v>
      </c>
      <c r="DX1" s="46" t="s">
        <v>353</v>
      </c>
      <c r="DY1" s="46" t="s">
        <v>354</v>
      </c>
      <c r="DZ1" s="46" t="s">
        <v>355</v>
      </c>
      <c r="EA1" s="46" t="s">
        <v>356</v>
      </c>
      <c r="EB1" s="46" t="s">
        <v>357</v>
      </c>
      <c r="EC1" s="46" t="s">
        <v>358</v>
      </c>
      <c r="ED1" s="46" t="s">
        <v>359</v>
      </c>
      <c r="EE1" s="46" t="s">
        <v>360</v>
      </c>
      <c r="EF1" s="46" t="s">
        <v>361</v>
      </c>
      <c r="EG1" s="46" t="s">
        <v>362</v>
      </c>
      <c r="EH1" s="46" t="s">
        <v>363</v>
      </c>
      <c r="EI1" s="46" t="s">
        <v>364</v>
      </c>
      <c r="EJ1" s="46" t="s">
        <v>365</v>
      </c>
      <c r="EK1" s="46" t="s">
        <v>366</v>
      </c>
      <c r="EL1" s="46" t="s">
        <v>367</v>
      </c>
      <c r="EM1" s="46" t="s">
        <v>368</v>
      </c>
      <c r="EN1" s="46" t="s">
        <v>369</v>
      </c>
      <c r="EO1" s="46" t="s">
        <v>370</v>
      </c>
      <c r="EP1" s="46" t="s">
        <v>371</v>
      </c>
      <c r="EQ1" s="46" t="s">
        <v>372</v>
      </c>
      <c r="ER1" s="46" t="s">
        <v>373</v>
      </c>
      <c r="ES1" s="46" t="s">
        <v>374</v>
      </c>
      <c r="ET1" s="46" t="s">
        <v>375</v>
      </c>
      <c r="EU1" s="46" t="s">
        <v>376</v>
      </c>
      <c r="EV1" s="46" t="s">
        <v>377</v>
      </c>
      <c r="EW1" s="46" t="s">
        <v>378</v>
      </c>
      <c r="EX1" s="46" t="s">
        <v>379</v>
      </c>
      <c r="EY1" s="46" t="s">
        <v>380</v>
      </c>
    </row>
    <row r="2" spans="1:155" x14ac:dyDescent="0.25">
      <c r="A2">
        <v>443.9</v>
      </c>
      <c r="B2">
        <v>0.61849738205451488</v>
      </c>
      <c r="C2">
        <v>-1.5215029025980067</v>
      </c>
      <c r="D2">
        <v>0.17069438462758935</v>
      </c>
      <c r="E2">
        <v>-0.73931878175240229</v>
      </c>
      <c r="F2">
        <v>-0.6787828634229145</v>
      </c>
      <c r="G2">
        <v>0.2986448729187462</v>
      </c>
      <c r="H2">
        <v>0.24002744218069055</v>
      </c>
      <c r="I2">
        <v>0.10954831572217996</v>
      </c>
      <c r="J2">
        <v>-0.8617806333139808</v>
      </c>
      <c r="K2">
        <v>1.268224848877237</v>
      </c>
      <c r="L2">
        <v>-1.3950371419796066</v>
      </c>
      <c r="M2">
        <v>1.2327360047961566</v>
      </c>
      <c r="N2">
        <v>-0.47682871987540487</v>
      </c>
      <c r="O2">
        <v>1.2004582956826551</v>
      </c>
      <c r="P2">
        <v>-1.8932652452921849E-3</v>
      </c>
      <c r="Q2">
        <v>-1.4389779285445217</v>
      </c>
      <c r="R2" s="45">
        <v>0.12570146505393692</v>
      </c>
      <c r="S2">
        <v>-1.5225601624828011</v>
      </c>
      <c r="T2">
        <v>1</v>
      </c>
      <c r="U2">
        <v>443.9</v>
      </c>
      <c r="V2">
        <v>1.4321837857742075</v>
      </c>
      <c r="W2">
        <v>-0.83966204798490773</v>
      </c>
      <c r="X2">
        <v>0.73439595795254664</v>
      </c>
      <c r="Y2">
        <v>-0.13209393910997533</v>
      </c>
      <c r="Z2">
        <v>1.5342773529334466</v>
      </c>
      <c r="AA2">
        <v>0.99155698304017104</v>
      </c>
      <c r="AB2">
        <v>1.0696530168496325</v>
      </c>
      <c r="AC2">
        <v>1.3119802101972846</v>
      </c>
      <c r="AD2">
        <v>1.4764129700528303</v>
      </c>
      <c r="AE2">
        <v>0.64725171430772277</v>
      </c>
      <c r="AF2">
        <v>1.3077624815842503</v>
      </c>
      <c r="AG2">
        <v>-0.50842214551245013</v>
      </c>
      <c r="AH2">
        <v>-4.1051268453254311E-2</v>
      </c>
      <c r="AI2">
        <v>-0.15482965401635895</v>
      </c>
      <c r="AJ2">
        <v>5.7423969941477755E-2</v>
      </c>
      <c r="AK2">
        <v>-3.1228315173804561E-2</v>
      </c>
      <c r="AL2">
        <v>-0.17077771509063872</v>
      </c>
      <c r="AM2">
        <v>-0.70482144454538798</v>
      </c>
      <c r="AN2">
        <v>-0.56466123392508938</v>
      </c>
      <c r="AO2">
        <v>-1.0631486454082841</v>
      </c>
      <c r="AP2">
        <v>9.7113173761705709E-2</v>
      </c>
      <c r="AQ2">
        <v>0.49591545551263672</v>
      </c>
      <c r="AR2">
        <v>0.34433402550728903</v>
      </c>
      <c r="AS2">
        <v>0.41324278638018136</v>
      </c>
      <c r="AT2">
        <v>0.41072188156691142</v>
      </c>
      <c r="AU2">
        <v>0.4172265840817026</v>
      </c>
      <c r="AV2">
        <v>1.063082632345286</v>
      </c>
      <c r="AW2">
        <v>1.3509552123165345</v>
      </c>
      <c r="AX2">
        <v>0.98485564908333889</v>
      </c>
      <c r="AY2">
        <v>-0.65991749162779301</v>
      </c>
      <c r="AZ2">
        <v>-1.0945917709909128</v>
      </c>
      <c r="BA2">
        <v>-0.34436100146979065</v>
      </c>
      <c r="BB2">
        <v>-1.2115024849960567</v>
      </c>
      <c r="BC2">
        <v>-1.5870464618157645</v>
      </c>
      <c r="BD2">
        <v>-1.209713053398243</v>
      </c>
      <c r="BE2">
        <v>-1.0873585993958754</v>
      </c>
      <c r="BF2">
        <v>-1.0165439969838368</v>
      </c>
      <c r="BG2">
        <v>0.61643335477572736</v>
      </c>
      <c r="BH2">
        <v>0.88893056492502032</v>
      </c>
      <c r="BI2">
        <v>0.97276862706845035</v>
      </c>
      <c r="BJ2">
        <v>1.3532564378397611</v>
      </c>
      <c r="BK2">
        <v>1.3382235481398901</v>
      </c>
      <c r="BL2">
        <v>1.4135379888428203</v>
      </c>
      <c r="BM2">
        <v>1.059434243538915</v>
      </c>
      <c r="BN2">
        <v>1.2542398480050392</v>
      </c>
      <c r="BO2">
        <v>0.94330170212927589</v>
      </c>
      <c r="BP2">
        <v>1.2578883494064015</v>
      </c>
      <c r="BQ2">
        <v>-0.30557553528918419</v>
      </c>
      <c r="BR2">
        <v>-0.28272609586168995</v>
      </c>
      <c r="BS2">
        <v>1.0889328439570329</v>
      </c>
      <c r="BT2">
        <v>1.1104076998987913</v>
      </c>
      <c r="BU2">
        <v>1.0904457369638816</v>
      </c>
      <c r="BV2">
        <v>0.31144956754878494</v>
      </c>
      <c r="BW2">
        <v>0.82043921233882378</v>
      </c>
      <c r="BX2">
        <v>1.2619938515533016</v>
      </c>
      <c r="BY2">
        <v>1.181413179477387</v>
      </c>
      <c r="BZ2">
        <v>1.5597339070480218</v>
      </c>
      <c r="CA2">
        <v>0.80227311228841081</v>
      </c>
      <c r="CB2">
        <v>1.2493130744327854</v>
      </c>
      <c r="CC2">
        <v>1.4025565510215845</v>
      </c>
      <c r="CD2">
        <v>1.572319822255972</v>
      </c>
      <c r="CE2">
        <v>1.5765003820311247</v>
      </c>
      <c r="CF2">
        <v>0.33061764537608035</v>
      </c>
      <c r="CG2">
        <v>1.4163668216766696</v>
      </c>
      <c r="CH2">
        <v>1.3486833680648613</v>
      </c>
      <c r="CI2">
        <v>1.3566774937762596</v>
      </c>
      <c r="CJ2">
        <v>-1.6256464998244637</v>
      </c>
      <c r="CK2">
        <v>0.61623455308293595</v>
      </c>
      <c r="CL2">
        <v>1.4129743257923106</v>
      </c>
      <c r="CM2">
        <v>1.1098300971573534</v>
      </c>
      <c r="CN2">
        <v>0.42421532971953724</v>
      </c>
      <c r="CO2">
        <v>0.94651658730952482</v>
      </c>
      <c r="CP2">
        <v>1.3259875124756062</v>
      </c>
      <c r="CQ2">
        <v>1.3163828658246972</v>
      </c>
      <c r="CR2">
        <v>1.0045597844548306</v>
      </c>
      <c r="CS2">
        <v>0.92037895570955819</v>
      </c>
      <c r="CT2">
        <v>1.2671800521218841</v>
      </c>
      <c r="CU2">
        <v>1.2030147691226505</v>
      </c>
      <c r="CV2">
        <v>0.96762796005311746</v>
      </c>
      <c r="CW2">
        <v>1.2344437956540497</v>
      </c>
      <c r="CX2">
        <v>-1.7098917432094207</v>
      </c>
      <c r="CY2">
        <v>0.90678438383044357</v>
      </c>
      <c r="CZ2">
        <v>1.1414674924502266</v>
      </c>
      <c r="DA2">
        <v>-1.271063559207448</v>
      </c>
      <c r="DB2">
        <v>1.1421179187711203</v>
      </c>
      <c r="DC2">
        <v>1.1123852022357612</v>
      </c>
      <c r="DD2">
        <v>0.5733989064773074</v>
      </c>
      <c r="DE2">
        <v>1.1364597219168502</v>
      </c>
      <c r="DF2">
        <v>1.2930031724455309</v>
      </c>
      <c r="DG2">
        <v>1.5320590862355545</v>
      </c>
      <c r="DH2">
        <v>1.3346518536525225</v>
      </c>
      <c r="DI2">
        <v>1.0873583068895989</v>
      </c>
      <c r="DJ2">
        <v>-1.389936419435585</v>
      </c>
      <c r="DK2">
        <v>-1.384056513585731</v>
      </c>
      <c r="DL2">
        <v>0.95864340585612917</v>
      </c>
      <c r="DM2">
        <v>1.1612189415804082</v>
      </c>
      <c r="DN2">
        <v>1.350209010835467</v>
      </c>
      <c r="DO2">
        <v>0.57657041626966377</v>
      </c>
      <c r="DP2">
        <v>-0.82232292856168088</v>
      </c>
      <c r="DQ2">
        <v>1.6382175358336835</v>
      </c>
      <c r="DR2">
        <v>1.3109419879280695</v>
      </c>
      <c r="DS2">
        <v>1.2027948766823195</v>
      </c>
      <c r="DT2">
        <v>0.71107394154561354</v>
      </c>
      <c r="DU2">
        <v>1.5267107100082546</v>
      </c>
      <c r="DV2">
        <v>1.3790099617894775</v>
      </c>
      <c r="DW2">
        <v>1.20198681716647</v>
      </c>
      <c r="DX2">
        <v>1.1028000833399152</v>
      </c>
      <c r="DY2">
        <v>1.2402099696452475</v>
      </c>
      <c r="DZ2">
        <v>0.90212480612451562</v>
      </c>
      <c r="EA2">
        <v>1.0792664555533409</v>
      </c>
      <c r="EB2">
        <v>0.3103741855842867</v>
      </c>
      <c r="EC2">
        <v>1.263570187738785</v>
      </c>
      <c r="ED2">
        <v>1.3987843146048076</v>
      </c>
      <c r="EE2">
        <v>0.87096962657237686</v>
      </c>
      <c r="EF2">
        <v>1.1292756099911669</v>
      </c>
      <c r="EG2">
        <v>0.93676014428880627</v>
      </c>
      <c r="EH2">
        <v>1.2967125597540932</v>
      </c>
      <c r="EI2">
        <v>1.2899013151955063</v>
      </c>
      <c r="EJ2">
        <v>1.2795363814074492</v>
      </c>
      <c r="EK2">
        <v>1.2577152088586696</v>
      </c>
      <c r="EL2">
        <v>1.3723293412376201</v>
      </c>
      <c r="EM2">
        <v>1.0605114632621435</v>
      </c>
      <c r="EN2">
        <v>-1.0876855389819966</v>
      </c>
      <c r="EO2">
        <v>-1.1169286412127115</v>
      </c>
      <c r="EP2">
        <v>-0.8270534331158339</v>
      </c>
      <c r="EQ2">
        <v>7.1371049482101837E-2</v>
      </c>
      <c r="ER2">
        <v>1.1846026919955841</v>
      </c>
      <c r="ES2">
        <v>-1.1946828093875568</v>
      </c>
      <c r="ET2">
        <v>1.3623292966464116</v>
      </c>
      <c r="EU2">
        <v>1.3404031843309232</v>
      </c>
      <c r="EV2">
        <v>1.2366645201491286</v>
      </c>
      <c r="EW2">
        <v>1.1105317090825562</v>
      </c>
      <c r="EX2">
        <v>1.2049543025795175</v>
      </c>
      <c r="EY2">
        <v>0.5319662354089616</v>
      </c>
    </row>
    <row r="3" spans="1:155" x14ac:dyDescent="0.25">
      <c r="A3">
        <v>496.6</v>
      </c>
      <c r="B3">
        <v>1.1910086813115635</v>
      </c>
      <c r="C3">
        <v>1.2232016763493285</v>
      </c>
      <c r="D3">
        <v>0.12979885497722937</v>
      </c>
      <c r="E3">
        <v>-1.2352541539538446</v>
      </c>
      <c r="F3">
        <v>-0.86294875659967429</v>
      </c>
      <c r="G3">
        <v>1.5946509252076448</v>
      </c>
      <c r="H3">
        <v>1.6207755903097154</v>
      </c>
      <c r="I3">
        <v>1.1983347525756023</v>
      </c>
      <c r="J3">
        <v>-3.1219583039762224E-3</v>
      </c>
      <c r="K3">
        <v>0.65706140716206929</v>
      </c>
      <c r="L3">
        <v>-0.53593140862748456</v>
      </c>
      <c r="M3">
        <v>-1.550399286360971</v>
      </c>
      <c r="N3">
        <v>-0.16290293383053625</v>
      </c>
      <c r="O3">
        <v>-0.37779990285164916</v>
      </c>
      <c r="P3">
        <v>-1.707596159678715</v>
      </c>
      <c r="Q3">
        <v>-0.30823836582700925</v>
      </c>
      <c r="R3">
        <v>-1.6347696261531399</v>
      </c>
      <c r="S3">
        <v>-0.39441663628345891</v>
      </c>
      <c r="T3">
        <v>2</v>
      </c>
      <c r="U3">
        <v>496.6</v>
      </c>
      <c r="V3">
        <v>0.65147575443002836</v>
      </c>
      <c r="W3">
        <v>-1.1622112873279515</v>
      </c>
      <c r="X3">
        <v>-8.6034893773982171E-2</v>
      </c>
      <c r="Y3">
        <v>0.66942317547981844</v>
      </c>
      <c r="Z3">
        <v>0.49941840695667561</v>
      </c>
      <c r="AA3">
        <v>0.74478723053905393</v>
      </c>
      <c r="AB3">
        <v>0.70514144332112283</v>
      </c>
      <c r="AC3">
        <v>0.1927340113333563</v>
      </c>
      <c r="AD3">
        <v>0.51770067993816427</v>
      </c>
      <c r="AE3">
        <v>-0.16515347545353753</v>
      </c>
      <c r="AF3">
        <v>0.79253823432196457</v>
      </c>
      <c r="AG3">
        <v>-0.26130552222785797</v>
      </c>
      <c r="AH3">
        <v>0.17804948593232758</v>
      </c>
      <c r="AI3">
        <v>-1.1589074302132917E-2</v>
      </c>
      <c r="AJ3">
        <v>0.3069755918519631</v>
      </c>
      <c r="AK3">
        <v>0.22885305418474014</v>
      </c>
      <c r="AL3">
        <v>1.7994629506582868E-3</v>
      </c>
      <c r="AM3">
        <v>-0.45546992332360042</v>
      </c>
      <c r="AN3">
        <v>-0.47550886679214793</v>
      </c>
      <c r="AO3">
        <v>-0.97797873802248225</v>
      </c>
      <c r="AP3">
        <v>0.23876837912162124</v>
      </c>
      <c r="AQ3">
        <v>0.28451392274246001</v>
      </c>
      <c r="AR3">
        <v>9.8618536718432862E-3</v>
      </c>
      <c r="AS3">
        <v>-0.16791311603165984</v>
      </c>
      <c r="AT3">
        <v>-0.18190732975163851</v>
      </c>
      <c r="AU3">
        <v>-3.1098839330081365E-2</v>
      </c>
      <c r="AV3">
        <v>0.39235657551104325</v>
      </c>
      <c r="AW3">
        <v>0.29543662909487262</v>
      </c>
      <c r="AX3">
        <v>6.6438817004433968E-3</v>
      </c>
      <c r="AY3">
        <v>-1.3104310496977114</v>
      </c>
      <c r="AZ3">
        <v>-0.95707024457997369</v>
      </c>
      <c r="BA3">
        <v>-0.54857646139082505</v>
      </c>
      <c r="BB3">
        <v>-0.92109564330851568</v>
      </c>
      <c r="BC3">
        <v>0.44518781756255266</v>
      </c>
      <c r="BD3">
        <v>1.1490186789670274</v>
      </c>
      <c r="BE3">
        <v>1.2346225957890444</v>
      </c>
      <c r="BF3">
        <v>-1.0240019968720073</v>
      </c>
      <c r="BG3">
        <v>0.42016532583379812</v>
      </c>
      <c r="BH3">
        <v>0.4701102128854634</v>
      </c>
      <c r="BI3">
        <v>0.28007578857248289</v>
      </c>
      <c r="BJ3">
        <v>0.61931077668549384</v>
      </c>
      <c r="BK3">
        <v>0.52041955212382462</v>
      </c>
      <c r="BL3">
        <v>0.64010443369023673</v>
      </c>
      <c r="BM3">
        <v>0.23490337186782329</v>
      </c>
      <c r="BN3">
        <v>0.43069253801039803</v>
      </c>
      <c r="BO3">
        <v>0.58788764510043012</v>
      </c>
      <c r="BP3">
        <v>0.86591730793060995</v>
      </c>
      <c r="BQ3">
        <v>-0.28113620492351504</v>
      </c>
      <c r="BR3">
        <v>-0.30489696275123795</v>
      </c>
      <c r="BS3">
        <v>1.0125979860926995</v>
      </c>
      <c r="BT3">
        <v>0.99017742057758917</v>
      </c>
      <c r="BU3">
        <v>1.0107574409620224</v>
      </c>
      <c r="BV3">
        <v>-0.19571849173609751</v>
      </c>
      <c r="BW3">
        <v>1.1751734391659323</v>
      </c>
      <c r="BX3">
        <v>0.85393198318735086</v>
      </c>
      <c r="BY3">
        <v>0.92065684499271982</v>
      </c>
      <c r="BZ3">
        <v>0.45486435840238371</v>
      </c>
      <c r="CA3">
        <v>0.57684700694155144</v>
      </c>
      <c r="CB3">
        <v>0.87400678529976528</v>
      </c>
      <c r="CC3">
        <v>0.6994223503545316</v>
      </c>
      <c r="CD3">
        <v>0.31746895031224026</v>
      </c>
      <c r="CE3">
        <v>0.33545522133415517</v>
      </c>
      <c r="CF3">
        <v>1.3601802384365922</v>
      </c>
      <c r="CG3">
        <v>0.67608924295846973</v>
      </c>
      <c r="CH3">
        <v>0.76286263224529294</v>
      </c>
      <c r="CI3">
        <v>0.74780558457498847</v>
      </c>
      <c r="CJ3">
        <v>0.40711643247850521</v>
      </c>
      <c r="CK3">
        <v>1.2840276113931566</v>
      </c>
      <c r="CL3">
        <v>0.60909486755300146</v>
      </c>
      <c r="CM3">
        <v>0.88380914512068742</v>
      </c>
      <c r="CN3">
        <v>-0.34997503880737224</v>
      </c>
      <c r="CO3">
        <v>1.0976255989047456</v>
      </c>
      <c r="CP3">
        <v>0.70596886070317455</v>
      </c>
      <c r="CQ3">
        <v>0.67097548764407777</v>
      </c>
      <c r="CR3">
        <v>0.92835255516502679</v>
      </c>
      <c r="CS3">
        <v>0.98358322983445778</v>
      </c>
      <c r="CT3">
        <v>0.89006766929354941</v>
      </c>
      <c r="CU3">
        <v>0.37280597306673641</v>
      </c>
      <c r="CV3">
        <v>1.0535746836854907</v>
      </c>
      <c r="CW3">
        <v>0.8861372389976877</v>
      </c>
      <c r="CX3">
        <v>0.40665161578996933</v>
      </c>
      <c r="CY3">
        <v>0.8578186043882815</v>
      </c>
      <c r="CZ3">
        <v>0.91119578026609949</v>
      </c>
      <c r="DA3">
        <v>-0.82922634375040694</v>
      </c>
      <c r="DB3">
        <v>0.95050862263909008</v>
      </c>
      <c r="DC3">
        <v>0.91687465384811206</v>
      </c>
      <c r="DD3">
        <v>0.88120070775249448</v>
      </c>
      <c r="DE3">
        <v>0.84209903572460731</v>
      </c>
      <c r="DF3">
        <v>0.80789544129271695</v>
      </c>
      <c r="DG3">
        <v>0.50150832848863214</v>
      </c>
      <c r="DH3">
        <v>0.76923665840526756</v>
      </c>
      <c r="DI3">
        <v>0.97231217911608103</v>
      </c>
      <c r="DJ3">
        <v>-0.54886253211436031</v>
      </c>
      <c r="DK3">
        <v>-0.63656067441876563</v>
      </c>
      <c r="DL3">
        <v>0.95123609858997404</v>
      </c>
      <c r="DM3">
        <v>0.8105603534442779</v>
      </c>
      <c r="DN3">
        <v>0.66845230264406519</v>
      </c>
      <c r="DO3">
        <v>1.3309541653647077</v>
      </c>
      <c r="DP3">
        <v>-0.91019672983743904</v>
      </c>
      <c r="DQ3">
        <v>0.25477282250866917</v>
      </c>
      <c r="DR3">
        <v>0.80853816377835042</v>
      </c>
      <c r="DS3">
        <v>0.90995467469089952</v>
      </c>
      <c r="DT3">
        <v>1.1939082412052122</v>
      </c>
      <c r="DU3">
        <v>0.51094369117261607</v>
      </c>
      <c r="DV3">
        <v>0.71460175931308056</v>
      </c>
      <c r="DW3">
        <v>0.85101723654686823</v>
      </c>
      <c r="DX3">
        <v>0.89212960266848429</v>
      </c>
      <c r="DY3">
        <v>0.64830298325135172</v>
      </c>
      <c r="DZ3">
        <v>1.0192923541349099</v>
      </c>
      <c r="EA3">
        <v>1.0220154106784112</v>
      </c>
      <c r="EB3">
        <v>0.69097064263668184</v>
      </c>
      <c r="EC3">
        <v>0.71063038075117868</v>
      </c>
      <c r="ED3">
        <v>0.65983778797526405</v>
      </c>
      <c r="EE3">
        <v>1.031548880516455</v>
      </c>
      <c r="EF3">
        <v>0.99511301745848924</v>
      </c>
      <c r="EG3">
        <v>1.1176217602230791</v>
      </c>
      <c r="EH3">
        <v>0.80277470286293051</v>
      </c>
      <c r="EI3">
        <v>0.80791699550600504</v>
      </c>
      <c r="EJ3">
        <v>0.81302562410107304</v>
      </c>
      <c r="EK3">
        <v>0.8388980692162169</v>
      </c>
      <c r="EL3">
        <v>0.72932882253783726</v>
      </c>
      <c r="EM3">
        <v>1.0475000949497868</v>
      </c>
      <c r="EN3">
        <v>1.2957804001125035</v>
      </c>
      <c r="EO3">
        <v>1.1376163939925552</v>
      </c>
      <c r="EP3">
        <v>1.2543791700068918</v>
      </c>
      <c r="EQ3">
        <v>1.3491062056949081</v>
      </c>
      <c r="ER3">
        <v>0.83562511381221549</v>
      </c>
      <c r="ES3">
        <v>-0.93791023892065528</v>
      </c>
      <c r="ET3">
        <v>0.75526231955783718</v>
      </c>
      <c r="EU3">
        <v>0.76339581860482209</v>
      </c>
      <c r="EV3">
        <v>0.88571964169956574</v>
      </c>
      <c r="EW3">
        <v>0.97886762029196595</v>
      </c>
      <c r="EX3">
        <v>0.83611794553961827</v>
      </c>
      <c r="EY3">
        <v>1.2121232120087702</v>
      </c>
    </row>
    <row r="4" spans="1:155" x14ac:dyDescent="0.25">
      <c r="A4">
        <v>560</v>
      </c>
      <c r="B4">
        <v>-0.92774607308177237</v>
      </c>
      <c r="C4">
        <v>0.41662182436966227</v>
      </c>
      <c r="D4">
        <v>-1.2144194239650363</v>
      </c>
      <c r="E4">
        <v>0.54844617631688919</v>
      </c>
      <c r="F4">
        <v>0.18942777583895284</v>
      </c>
      <c r="G4">
        <v>-0.49022837630058341</v>
      </c>
      <c r="H4">
        <v>-0.64856939600616315</v>
      </c>
      <c r="I4">
        <v>0.20740339788495632</v>
      </c>
      <c r="J4">
        <v>-0.82349351241215829</v>
      </c>
      <c r="K4">
        <v>-0.73919103258900676</v>
      </c>
      <c r="L4">
        <v>0.61431731924623068</v>
      </c>
      <c r="M4">
        <v>0.1870616879141061</v>
      </c>
      <c r="N4">
        <v>-0.76192961858982655</v>
      </c>
      <c r="O4">
        <v>0.69565135095458175</v>
      </c>
      <c r="P4">
        <v>0.37836112012827655</v>
      </c>
      <c r="Q4">
        <v>0.47098633671222639</v>
      </c>
      <c r="R4">
        <v>0.6441167180691646</v>
      </c>
      <c r="S4">
        <v>0.22644502281617962</v>
      </c>
      <c r="T4">
        <v>3</v>
      </c>
      <c r="U4">
        <v>560</v>
      </c>
      <c r="V4">
        <v>-0.47006701930208927</v>
      </c>
      <c r="W4">
        <v>0.507797485432403</v>
      </c>
      <c r="X4">
        <v>-1.186642825634517</v>
      </c>
      <c r="Y4">
        <v>-0.75306190766332393</v>
      </c>
      <c r="Z4">
        <v>-0.57077171722535114</v>
      </c>
      <c r="AA4">
        <v>0.18896969053946322</v>
      </c>
      <c r="AB4">
        <v>0.12584634065604611</v>
      </c>
      <c r="AC4">
        <v>3.51129243545414E-2</v>
      </c>
      <c r="AD4">
        <v>-0.3704760172956123</v>
      </c>
      <c r="AE4">
        <v>-1.1750178960805515</v>
      </c>
      <c r="AF4">
        <v>-0.64830536069330169</v>
      </c>
      <c r="AG4">
        <v>-0.69191093913042112</v>
      </c>
      <c r="AH4">
        <v>-0.91750183106845173</v>
      </c>
      <c r="AI4">
        <v>-0.8857531923658275</v>
      </c>
      <c r="AJ4">
        <v>-0.93496719346042723</v>
      </c>
      <c r="AK4">
        <v>-0.91363283696197795</v>
      </c>
      <c r="AL4">
        <v>-0.87721207146003266</v>
      </c>
      <c r="AM4">
        <v>-0.53463128440086816</v>
      </c>
      <c r="AN4">
        <v>-0.62883305445771487</v>
      </c>
      <c r="AO4">
        <v>0.64898103091911397</v>
      </c>
      <c r="AP4">
        <v>-0.96361235193545414</v>
      </c>
      <c r="AQ4">
        <v>-1.0783955396780776</v>
      </c>
      <c r="AR4">
        <v>-1.0820185747683597</v>
      </c>
      <c r="AS4">
        <v>-1.1149415272765388</v>
      </c>
      <c r="AT4">
        <v>-1.1145704207583544</v>
      </c>
      <c r="AU4">
        <v>-1.1079377471832035</v>
      </c>
      <c r="AV4">
        <v>-1.100115222894785</v>
      </c>
      <c r="AW4">
        <v>-1.0747075171053326</v>
      </c>
      <c r="AX4">
        <v>-1.20301388672217</v>
      </c>
      <c r="AY4">
        <v>0.27515826566743218</v>
      </c>
      <c r="AZ4">
        <v>0.6526920452063627</v>
      </c>
      <c r="BA4">
        <v>-0.75313900161961012</v>
      </c>
      <c r="BB4">
        <v>0.49414718427662313</v>
      </c>
      <c r="BC4">
        <v>0.34402567586271882</v>
      </c>
      <c r="BD4">
        <v>0.92016518965915595</v>
      </c>
      <c r="BE4">
        <v>0.87688135748767404</v>
      </c>
      <c r="BF4">
        <v>0.61357878528038734</v>
      </c>
      <c r="BG4">
        <v>-1.0661278475174396</v>
      </c>
      <c r="BH4">
        <v>-1.0755237989535795</v>
      </c>
      <c r="BI4">
        <v>-1.1421277009470254</v>
      </c>
      <c r="BJ4">
        <v>-0.85216414149565711</v>
      </c>
      <c r="BK4">
        <v>-0.95125745213490942</v>
      </c>
      <c r="BL4">
        <v>-0.73928885510273645</v>
      </c>
      <c r="BM4">
        <v>-1.1535892205070866</v>
      </c>
      <c r="BN4">
        <v>-1.0451500998884882</v>
      </c>
      <c r="BO4">
        <v>-1.0217592961284865</v>
      </c>
      <c r="BP4">
        <v>-0.37973118550382962</v>
      </c>
      <c r="BQ4">
        <v>-0.80896121208705196</v>
      </c>
      <c r="BR4">
        <v>-0.81983047686057786</v>
      </c>
      <c r="BS4">
        <v>-0.24154185505193823</v>
      </c>
      <c r="BT4">
        <v>-0.24141225793076859</v>
      </c>
      <c r="BU4">
        <v>-0.24065490228190703</v>
      </c>
      <c r="BV4">
        <v>-1.0831494053857826</v>
      </c>
      <c r="BW4">
        <v>-2.4168997454051464E-2</v>
      </c>
      <c r="BX4">
        <v>-0.35337111897099949</v>
      </c>
      <c r="BY4">
        <v>-0.6015469278594866</v>
      </c>
      <c r="BZ4">
        <v>-0.60222828785364879</v>
      </c>
      <c r="CA4">
        <v>-1.0278492123254075</v>
      </c>
      <c r="CB4">
        <v>-0.37104326111011399</v>
      </c>
      <c r="CC4">
        <v>-0.48492218989121577</v>
      </c>
      <c r="CD4">
        <v>-0.87997006201085082</v>
      </c>
      <c r="CE4">
        <v>-0.85292300199487192</v>
      </c>
      <c r="CF4">
        <v>0.28528599714217107</v>
      </c>
      <c r="CG4">
        <v>-0.4707017544754199</v>
      </c>
      <c r="CH4">
        <v>-0.42974677048579468</v>
      </c>
      <c r="CI4">
        <v>-0.41481659386553893</v>
      </c>
      <c r="CJ4">
        <v>1.0513247898200475</v>
      </c>
      <c r="CK4">
        <v>8.2041435688547756E-2</v>
      </c>
      <c r="CL4">
        <v>-0.75290350793605698</v>
      </c>
      <c r="CM4">
        <v>-7.0216575276382059E-2</v>
      </c>
      <c r="CN4">
        <v>-1.1060125269308332</v>
      </c>
      <c r="CO4">
        <v>-0.10140095209569897</v>
      </c>
      <c r="CP4">
        <v>-0.25849301489198645</v>
      </c>
      <c r="CQ4">
        <v>-0.74848239184451515</v>
      </c>
      <c r="CR4">
        <v>2.0816396428982198E-2</v>
      </c>
      <c r="CS4">
        <v>9.0678777709030281E-2</v>
      </c>
      <c r="CT4">
        <v>-0.59250149025498411</v>
      </c>
      <c r="CU4">
        <v>-1.5207890690303202E-2</v>
      </c>
      <c r="CV4">
        <v>-0.77461955907019142</v>
      </c>
      <c r="CW4">
        <v>-0.35295036041305139</v>
      </c>
      <c r="CX4">
        <v>0.844701805132132</v>
      </c>
      <c r="CY4">
        <v>0.18873570734491665</v>
      </c>
      <c r="CZ4">
        <v>-0.1623661947185627</v>
      </c>
      <c r="DA4">
        <v>0.62835278772921732</v>
      </c>
      <c r="DB4">
        <v>-0.22736712393828756</v>
      </c>
      <c r="DC4">
        <v>-0.10957000060636243</v>
      </c>
      <c r="DD4">
        <v>0.4833604662216347</v>
      </c>
      <c r="DE4">
        <v>-6.9963235756404535E-2</v>
      </c>
      <c r="DF4">
        <v>-0.34080887004515731</v>
      </c>
      <c r="DG4">
        <v>-0.560781606990992</v>
      </c>
      <c r="DH4">
        <v>-0.38427962803941479</v>
      </c>
      <c r="DI4">
        <v>-0.15008425952429741</v>
      </c>
      <c r="DJ4">
        <v>0.86954880225486819</v>
      </c>
      <c r="DK4">
        <v>0.7810723692468694</v>
      </c>
      <c r="DL4">
        <v>5.9202546198185199E-2</v>
      </c>
      <c r="DM4">
        <v>-0.74894622529869115</v>
      </c>
      <c r="DN4">
        <v>-0.27574076184929402</v>
      </c>
      <c r="DO4">
        <v>3.1583664269655E-3</v>
      </c>
      <c r="DP4">
        <v>-0.2428676033254227</v>
      </c>
      <c r="DQ4">
        <v>-0.80043349128428554</v>
      </c>
      <c r="DR4">
        <v>-0.41176681559509465</v>
      </c>
      <c r="DS4">
        <v>-0.30738315956226059</v>
      </c>
      <c r="DT4">
        <v>0.10789484173055276</v>
      </c>
      <c r="DU4">
        <v>-0.55678517710699083</v>
      </c>
      <c r="DV4">
        <v>-0.41477524976302971</v>
      </c>
      <c r="DW4">
        <v>-0.19943018168992402</v>
      </c>
      <c r="DX4">
        <v>-7.800644139275445E-2</v>
      </c>
      <c r="DY4">
        <v>-5.1513436465365832E-2</v>
      </c>
      <c r="DZ4">
        <v>7.7681045609054686E-2</v>
      </c>
      <c r="EA4">
        <v>-0.74026607039941061</v>
      </c>
      <c r="EB4">
        <v>0.72541763222072664</v>
      </c>
      <c r="EC4">
        <v>-0.71363739890567057</v>
      </c>
      <c r="ED4">
        <v>-0.36843862857140131</v>
      </c>
      <c r="EE4">
        <v>9.7471385652629444E-2</v>
      </c>
      <c r="EF4">
        <v>-0.32464888091485961</v>
      </c>
      <c r="EG4">
        <v>-0.13059611070410188</v>
      </c>
      <c r="EH4">
        <v>-0.33077896592088341</v>
      </c>
      <c r="EI4">
        <v>-0.31969950375282219</v>
      </c>
      <c r="EJ4">
        <v>-0.2959119924900791</v>
      </c>
      <c r="EK4">
        <v>-0.29136521508410917</v>
      </c>
      <c r="EL4">
        <v>-0.42698996758430863</v>
      </c>
      <c r="EM4">
        <v>-0.3086558657491853</v>
      </c>
      <c r="EN4">
        <v>0.68731352759923714</v>
      </c>
      <c r="EO4">
        <v>0.97539349140199694</v>
      </c>
      <c r="EP4">
        <v>0.22769543624853494</v>
      </c>
      <c r="EQ4">
        <v>0.51124349219152831</v>
      </c>
      <c r="ER4">
        <v>-0.14137141081881566</v>
      </c>
      <c r="ES4">
        <v>0.42230684342839692</v>
      </c>
      <c r="ET4">
        <v>-0.48911154448552058</v>
      </c>
      <c r="EU4">
        <v>-0.3915330984014907</v>
      </c>
      <c r="EV4">
        <v>-0.36732739449426266</v>
      </c>
      <c r="EW4">
        <v>-0.21161659818255357</v>
      </c>
      <c r="EX4">
        <v>-0.17687142346099544</v>
      </c>
      <c r="EY4">
        <v>0.28599617930680671</v>
      </c>
    </row>
    <row r="5" spans="1:155" x14ac:dyDescent="0.25">
      <c r="A5">
        <v>664.5</v>
      </c>
      <c r="B5">
        <v>-1.129899658533722</v>
      </c>
      <c r="C5">
        <v>4.9994618924359751E-3</v>
      </c>
      <c r="D5">
        <v>-0.55831288305273985</v>
      </c>
      <c r="E5">
        <v>1.2652603277341001</v>
      </c>
      <c r="F5">
        <v>1.636445507942065</v>
      </c>
      <c r="G5">
        <v>-0.96918713475517648</v>
      </c>
      <c r="H5">
        <v>-0.88902657126301388</v>
      </c>
      <c r="I5">
        <v>6.7259876534088492E-2</v>
      </c>
      <c r="J5">
        <v>8.4644852303426707E-2</v>
      </c>
      <c r="K5">
        <v>-1.1888922717258497</v>
      </c>
      <c r="L5">
        <v>1.1694410118954244</v>
      </c>
      <c r="M5">
        <v>0.19395446391897811</v>
      </c>
      <c r="N5">
        <v>-0.34397391524918358</v>
      </c>
      <c r="O5">
        <v>-0.13481358997643822</v>
      </c>
      <c r="P5">
        <v>0.49972785984054791</v>
      </c>
      <c r="Q5">
        <v>1.2698277494821355</v>
      </c>
      <c r="R5">
        <v>0.94373424965628805</v>
      </c>
      <c r="S5">
        <v>0.99695616046556934</v>
      </c>
      <c r="T5">
        <v>4</v>
      </c>
      <c r="U5">
        <v>664.5</v>
      </c>
      <c r="V5">
        <v>-0.77828722009487616</v>
      </c>
      <c r="W5">
        <v>1.2810056018513964</v>
      </c>
      <c r="X5">
        <v>-0.70560671506498795</v>
      </c>
      <c r="Y5">
        <v>-1.1054043006656389</v>
      </c>
      <c r="Z5">
        <v>-0.71248139198693827</v>
      </c>
      <c r="AA5">
        <v>-0.4274091720680171</v>
      </c>
      <c r="AB5">
        <v>-0.43236145410819715</v>
      </c>
      <c r="AC5">
        <v>-4.369225961349895E-2</v>
      </c>
      <c r="AD5">
        <v>-0.59177485788962358</v>
      </c>
      <c r="AE5">
        <v>-0.63666113700509019</v>
      </c>
      <c r="AF5">
        <v>-1.0319350424499953</v>
      </c>
      <c r="AG5">
        <v>-0.3002703846543528</v>
      </c>
      <c r="AH5">
        <v>-0.79722674427278373</v>
      </c>
      <c r="AI5">
        <v>-0.62234816455780018</v>
      </c>
      <c r="AJ5">
        <v>-0.91169803651076675</v>
      </c>
      <c r="AK5">
        <v>-0.83690019676570049</v>
      </c>
      <c r="AL5">
        <v>-0.62887567529812927</v>
      </c>
      <c r="AM5">
        <v>-3.9545401970242214E-2</v>
      </c>
      <c r="AN5">
        <v>-7.8414692432302757E-2</v>
      </c>
      <c r="AO5">
        <v>1.2074734274504741</v>
      </c>
      <c r="AP5">
        <v>-0.87103690652529897</v>
      </c>
      <c r="AQ5">
        <v>-0.96137515699273013</v>
      </c>
      <c r="AR5">
        <v>-0.74191632604723889</v>
      </c>
      <c r="AS5">
        <v>-0.60918367514051142</v>
      </c>
      <c r="AT5">
        <v>-0.59723463320364911</v>
      </c>
      <c r="AU5">
        <v>-0.72004919492049846</v>
      </c>
      <c r="AV5">
        <v>-1.0269353771072272</v>
      </c>
      <c r="AW5">
        <v>-0.90601531614008712</v>
      </c>
      <c r="AX5">
        <v>-0.7775331582946502</v>
      </c>
      <c r="AY5">
        <v>1.2566991965499699</v>
      </c>
      <c r="AZ5">
        <v>1.1900560844900401</v>
      </c>
      <c r="BA5">
        <v>-8.7587142833577977E-2</v>
      </c>
      <c r="BB5">
        <v>1.0399089070571341</v>
      </c>
      <c r="BC5">
        <v>-0.25164824999873076</v>
      </c>
      <c r="BD5">
        <v>-0.41745969077123807</v>
      </c>
      <c r="BE5">
        <v>-0.51154625521001407</v>
      </c>
      <c r="BF5">
        <v>1.2250799195976099</v>
      </c>
      <c r="BG5">
        <v>-1.0591084176466417</v>
      </c>
      <c r="BH5">
        <v>-1.0882933429117387</v>
      </c>
      <c r="BI5">
        <v>-0.96768888136772224</v>
      </c>
      <c r="BJ5">
        <v>-1.024591420259233</v>
      </c>
      <c r="BK5">
        <v>-1.011257227301309</v>
      </c>
      <c r="BL5">
        <v>-0.95872777996685155</v>
      </c>
      <c r="BM5">
        <v>-0.93111409558941372</v>
      </c>
      <c r="BN5">
        <v>-1.0070544872767078</v>
      </c>
      <c r="BO5">
        <v>-1.1465722080049536</v>
      </c>
      <c r="BP5">
        <v>-0.90952364251689444</v>
      </c>
      <c r="BQ5">
        <v>-0.35078554559152086</v>
      </c>
      <c r="BR5">
        <v>-0.336590265377672</v>
      </c>
      <c r="BS5">
        <v>-0.9493415623947643</v>
      </c>
      <c r="BT5">
        <v>-0.92867234934678089</v>
      </c>
      <c r="BU5">
        <v>-0.94704860180687356</v>
      </c>
      <c r="BV5">
        <v>-0.57069391095859845</v>
      </c>
      <c r="BW5">
        <v>-0.95435539792166801</v>
      </c>
      <c r="BX5">
        <v>-0.88057879949671325</v>
      </c>
      <c r="BY5">
        <v>-1.1170110438584981</v>
      </c>
      <c r="BZ5">
        <v>-0.69488969861988958</v>
      </c>
      <c r="CA5">
        <v>-1.151708134041409</v>
      </c>
      <c r="CB5">
        <v>-0.91091789567270631</v>
      </c>
      <c r="CC5">
        <v>-0.83152577606417777</v>
      </c>
      <c r="CD5">
        <v>-0.77212613805751884</v>
      </c>
      <c r="CE5">
        <v>-0.76812022691101023</v>
      </c>
      <c r="CF5">
        <v>-0.92990486503338388</v>
      </c>
      <c r="CG5">
        <v>-0.80076036007547036</v>
      </c>
      <c r="CH5">
        <v>-0.85057343440428224</v>
      </c>
      <c r="CI5">
        <v>-0.82675335540593631</v>
      </c>
      <c r="CJ5">
        <v>0.27369084448337733</v>
      </c>
      <c r="CK5">
        <v>-0.98705973556821847</v>
      </c>
      <c r="CL5">
        <v>-0.99531303010219174</v>
      </c>
      <c r="CM5">
        <v>-0.70436836678781811</v>
      </c>
      <c r="CN5">
        <v>-0.46951180745157173</v>
      </c>
      <c r="CO5">
        <v>-0.94038279591338481</v>
      </c>
      <c r="CP5">
        <v>-0.65874011774766161</v>
      </c>
      <c r="CQ5">
        <v>-1.1140566877457869</v>
      </c>
      <c r="CR5">
        <v>-0.64515676833544333</v>
      </c>
      <c r="CS5">
        <v>-0.69076895169633701</v>
      </c>
      <c r="CT5">
        <v>-0.89804692346890491</v>
      </c>
      <c r="CU5">
        <v>-7.0717732515970183E-3</v>
      </c>
      <c r="CV5">
        <v>-1.1602535344880525</v>
      </c>
      <c r="CW5">
        <v>-0.92896094522421557</v>
      </c>
      <c r="CX5">
        <v>1.4496195220186176E-2</v>
      </c>
      <c r="CY5">
        <v>-0.4774188464368247</v>
      </c>
      <c r="CZ5">
        <v>-0.78113648003092373</v>
      </c>
      <c r="DA5">
        <v>1.0666152254066508</v>
      </c>
      <c r="DB5">
        <v>-0.91253167862294848</v>
      </c>
      <c r="DC5">
        <v>-0.77636485343462469</v>
      </c>
      <c r="DD5">
        <v>-0.34319372298577333</v>
      </c>
      <c r="DE5">
        <v>-0.66013349811050137</v>
      </c>
      <c r="DF5">
        <v>-0.80814524334966997</v>
      </c>
      <c r="DG5">
        <v>-0.70278245705272357</v>
      </c>
      <c r="DH5">
        <v>-0.84004079629525208</v>
      </c>
      <c r="DI5">
        <v>-0.83973687559999866</v>
      </c>
      <c r="DJ5">
        <v>1.0031672874634971</v>
      </c>
      <c r="DK5">
        <v>1.007630856579</v>
      </c>
      <c r="DL5">
        <v>-0.64248422990157505</v>
      </c>
      <c r="DM5">
        <v>-1.1970707316985771</v>
      </c>
      <c r="DN5">
        <v>-0.61147166668406527</v>
      </c>
      <c r="DO5">
        <v>-1.1434410826111945</v>
      </c>
      <c r="DP5">
        <v>0.49511631484064145</v>
      </c>
      <c r="DQ5">
        <v>-0.62934493204245368</v>
      </c>
      <c r="DR5">
        <v>-0.85504250311429775</v>
      </c>
      <c r="DS5">
        <v>-0.87913894488527533</v>
      </c>
      <c r="DT5">
        <v>-0.88098193305391259</v>
      </c>
      <c r="DU5">
        <v>-0.71219997421083769</v>
      </c>
      <c r="DV5">
        <v>-0.7828877381212267</v>
      </c>
      <c r="DW5">
        <v>-0.7352707388307117</v>
      </c>
      <c r="DX5">
        <v>-0.68961744768672173</v>
      </c>
      <c r="DY5">
        <v>-0.49918768631738897</v>
      </c>
      <c r="DZ5">
        <v>-0.73217037549251374</v>
      </c>
      <c r="EA5">
        <v>-1.0783097110191289</v>
      </c>
      <c r="EB5">
        <v>-2.3993835329464443E-2</v>
      </c>
      <c r="EC5">
        <v>-1.1755369163745879</v>
      </c>
      <c r="ED5">
        <v>-0.69692051198766058</v>
      </c>
      <c r="EE5">
        <v>-0.71030687262711012</v>
      </c>
      <c r="EF5">
        <v>-0.96900092871970878</v>
      </c>
      <c r="EG5">
        <v>-1.0160722231664088</v>
      </c>
      <c r="EH5">
        <v>-0.86838433114887503</v>
      </c>
      <c r="EI5">
        <v>-0.87557409818790621</v>
      </c>
      <c r="EJ5">
        <v>-0.88745207519433</v>
      </c>
      <c r="EK5">
        <v>-0.90754896011977759</v>
      </c>
      <c r="EL5">
        <v>-0.8476886069971743</v>
      </c>
      <c r="EM5">
        <v>-1.0784935193550573</v>
      </c>
      <c r="EN5">
        <v>-0.81144541174958018</v>
      </c>
      <c r="EO5">
        <v>-0.4244948370883071</v>
      </c>
      <c r="EP5">
        <v>-1.1866217366269751</v>
      </c>
      <c r="EQ5">
        <v>-0.81146447374503716</v>
      </c>
      <c r="ER5">
        <v>-0.70129947286143168</v>
      </c>
      <c r="ES5">
        <v>1.0166591192526333</v>
      </c>
      <c r="ET5">
        <v>-0.87917824192283178</v>
      </c>
      <c r="EU5">
        <v>-0.83043571007006167</v>
      </c>
      <c r="EV5">
        <v>-0.95209391810056365</v>
      </c>
      <c r="EW5">
        <v>-0.91989231748324518</v>
      </c>
      <c r="EX5">
        <v>-0.73199287614345787</v>
      </c>
      <c r="EY5">
        <v>-0.78553071912812422</v>
      </c>
    </row>
    <row r="6" spans="1:155" x14ac:dyDescent="0.25">
      <c r="A6">
        <v>703.9</v>
      </c>
      <c r="B6">
        <v>0.24813966824941608</v>
      </c>
      <c r="C6">
        <v>-0.12332006001342001</v>
      </c>
      <c r="D6">
        <v>1.4722390674129577</v>
      </c>
      <c r="E6">
        <v>0.1608664316552578</v>
      </c>
      <c r="F6">
        <v>-0.28414166375842931</v>
      </c>
      <c r="G6">
        <v>-0.43388028707063131</v>
      </c>
      <c r="H6">
        <v>-0.323207065221228</v>
      </c>
      <c r="I6">
        <v>-1.5825463427168271</v>
      </c>
      <c r="J6">
        <v>1.6037512517266888</v>
      </c>
      <c r="K6">
        <v>2.7970482755506083E-3</v>
      </c>
      <c r="L6">
        <v>0.14721021946543605</v>
      </c>
      <c r="M6">
        <v>-6.3352870268269995E-2</v>
      </c>
      <c r="N6">
        <v>1.7456351875449507</v>
      </c>
      <c r="O6">
        <v>-1.3834961538091493</v>
      </c>
      <c r="P6">
        <v>0.83140044495518306</v>
      </c>
      <c r="Q6">
        <v>6.402208177169022E-3</v>
      </c>
      <c r="R6">
        <v>-7.8782806626249577E-2</v>
      </c>
      <c r="S6">
        <v>0.69357561548451085</v>
      </c>
      <c r="T6">
        <v>5</v>
      </c>
      <c r="U6">
        <v>703.9</v>
      </c>
      <c r="V6">
        <v>-0.83530530080726983</v>
      </c>
      <c r="W6">
        <v>0.21307024802905986</v>
      </c>
      <c r="X6">
        <v>1.2438884765209406</v>
      </c>
      <c r="Y6">
        <v>1.3211369719591193</v>
      </c>
      <c r="Z6">
        <v>-0.750442650677833</v>
      </c>
      <c r="AA6">
        <v>-1.4979047320506709</v>
      </c>
      <c r="AB6">
        <v>-1.4682793467186042</v>
      </c>
      <c r="AC6">
        <v>-1.4961348862716832</v>
      </c>
      <c r="AD6">
        <v>-1.0318627748057587</v>
      </c>
      <c r="AE6">
        <v>1.3295807942314568</v>
      </c>
      <c r="AF6">
        <v>-0.42006031276291683</v>
      </c>
      <c r="AG6">
        <v>1.7619089915250814</v>
      </c>
      <c r="AH6">
        <v>1.5777303578621629</v>
      </c>
      <c r="AI6">
        <v>1.6745200852421198</v>
      </c>
      <c r="AJ6">
        <v>1.4822656681777533</v>
      </c>
      <c r="AK6">
        <v>1.5529082947167425</v>
      </c>
      <c r="AL6">
        <v>1.675065998898142</v>
      </c>
      <c r="AM6">
        <v>1.7344680542400992</v>
      </c>
      <c r="AN6">
        <v>1.7474178476072546</v>
      </c>
      <c r="AO6">
        <v>0.18467292506117849</v>
      </c>
      <c r="AP6">
        <v>1.4987677055774262</v>
      </c>
      <c r="AQ6">
        <v>1.2593413184157112</v>
      </c>
      <c r="AR6">
        <v>1.4697390216364661</v>
      </c>
      <c r="AS6">
        <v>1.4787955320685284</v>
      </c>
      <c r="AT6">
        <v>1.4829905021467304</v>
      </c>
      <c r="AU6">
        <v>1.4418591973520805</v>
      </c>
      <c r="AV6">
        <v>0.67161139214568233</v>
      </c>
      <c r="AW6">
        <v>0.33433099183401294</v>
      </c>
      <c r="AX6">
        <v>0.98904751423303749</v>
      </c>
      <c r="AY6">
        <v>0.43849107910810187</v>
      </c>
      <c r="AZ6">
        <v>0.20891388587448334</v>
      </c>
      <c r="BA6">
        <v>1.7336636073138039</v>
      </c>
      <c r="BB6">
        <v>0.59854203697081532</v>
      </c>
      <c r="BC6">
        <v>1.0494812183892239</v>
      </c>
      <c r="BD6">
        <v>-0.4420111244567021</v>
      </c>
      <c r="BE6">
        <v>-0.51259909867082976</v>
      </c>
      <c r="BF6">
        <v>0.201887288977847</v>
      </c>
      <c r="BG6">
        <v>1.0886375845545559</v>
      </c>
      <c r="BH6">
        <v>0.80477636405483521</v>
      </c>
      <c r="BI6">
        <v>0.85697216667381415</v>
      </c>
      <c r="BJ6">
        <v>-9.5811652770365449E-2</v>
      </c>
      <c r="BK6">
        <v>0.1038715791725045</v>
      </c>
      <c r="BL6">
        <v>-0.35562578746346929</v>
      </c>
      <c r="BM6">
        <v>0.79036570068976086</v>
      </c>
      <c r="BN6">
        <v>0.36727220114975839</v>
      </c>
      <c r="BO6">
        <v>0.63714215690373466</v>
      </c>
      <c r="BP6">
        <v>-0.83455082931628677</v>
      </c>
      <c r="BQ6">
        <v>1.7464584978912721</v>
      </c>
      <c r="BR6">
        <v>1.7440438008511778</v>
      </c>
      <c r="BS6">
        <v>-0.91064741260303028</v>
      </c>
      <c r="BT6">
        <v>-0.93050051319883154</v>
      </c>
      <c r="BU6">
        <v>-0.91349967383712416</v>
      </c>
      <c r="BV6">
        <v>1.5381122405316938</v>
      </c>
      <c r="BW6">
        <v>-1.0170882561290377</v>
      </c>
      <c r="BX6">
        <v>-0.8819759162729397</v>
      </c>
      <c r="BY6">
        <v>-0.38351205275212236</v>
      </c>
      <c r="BZ6">
        <v>-0.71748027897686717</v>
      </c>
      <c r="CA6">
        <v>0.80043722713685383</v>
      </c>
      <c r="CB6">
        <v>-0.84135870294973114</v>
      </c>
      <c r="CC6">
        <v>-0.78553093542072339</v>
      </c>
      <c r="CD6">
        <v>-0.23769257249984238</v>
      </c>
      <c r="CE6">
        <v>-0.29091237445939772</v>
      </c>
      <c r="CF6">
        <v>-1.0461790159214592</v>
      </c>
      <c r="CG6">
        <v>-0.8209939500842488</v>
      </c>
      <c r="CH6">
        <v>-0.8312257954200768</v>
      </c>
      <c r="CI6">
        <v>-0.86291312907977247</v>
      </c>
      <c r="CJ6">
        <v>-0.10648556695746654</v>
      </c>
      <c r="CK6">
        <v>-0.99524386459642189</v>
      </c>
      <c r="CL6">
        <v>-0.27385265530706354</v>
      </c>
      <c r="CM6">
        <v>-1.2190543002138408</v>
      </c>
      <c r="CN6">
        <v>1.5012840434702404</v>
      </c>
      <c r="CO6">
        <v>-1.0023584382051862</v>
      </c>
      <c r="CP6">
        <v>-1.1147232405391325</v>
      </c>
      <c r="CQ6">
        <v>-0.12481927387847276</v>
      </c>
      <c r="CR6">
        <v>-1.3085719677133953</v>
      </c>
      <c r="CS6">
        <v>-1.3038720115567091</v>
      </c>
      <c r="CT6">
        <v>-0.66669930769154451</v>
      </c>
      <c r="CU6">
        <v>-1.553541078247487</v>
      </c>
      <c r="CV6">
        <v>-8.6329550180364395E-2</v>
      </c>
      <c r="CW6">
        <v>-0.83866972901447068</v>
      </c>
      <c r="CX6">
        <v>0.44404212706713458</v>
      </c>
      <c r="CY6">
        <v>-1.4759198491268173</v>
      </c>
      <c r="CZ6">
        <v>-1.1091605979668397</v>
      </c>
      <c r="DA6">
        <v>0.40532188982198691</v>
      </c>
      <c r="DB6">
        <v>-0.95272773884897466</v>
      </c>
      <c r="DC6">
        <v>-1.143325002042886</v>
      </c>
      <c r="DD6">
        <v>-1.5947663574656636</v>
      </c>
      <c r="DE6">
        <v>-1.2484620237745514</v>
      </c>
      <c r="DF6">
        <v>-0.9519445003434216</v>
      </c>
      <c r="DG6">
        <v>-0.77000335068047132</v>
      </c>
      <c r="DH6">
        <v>-0.87956808772312289</v>
      </c>
      <c r="DI6">
        <v>-1.069849350881384</v>
      </c>
      <c r="DJ6">
        <v>6.6082861831580048E-2</v>
      </c>
      <c r="DK6">
        <v>0.23191396217862745</v>
      </c>
      <c r="DL6">
        <v>-1.3265978207427125</v>
      </c>
      <c r="DM6">
        <v>-2.5762338027417508E-2</v>
      </c>
      <c r="DN6">
        <v>-1.1314488849461737</v>
      </c>
      <c r="DO6">
        <v>-0.76724186545014295</v>
      </c>
      <c r="DP6">
        <v>1.4802709468839008</v>
      </c>
      <c r="DQ6">
        <v>-0.46321193501561309</v>
      </c>
      <c r="DR6">
        <v>-0.85267083299702773</v>
      </c>
      <c r="DS6">
        <v>-0.92622744692568348</v>
      </c>
      <c r="DT6">
        <v>-1.1318950914274666</v>
      </c>
      <c r="DU6">
        <v>-0.76866924986304197</v>
      </c>
      <c r="DV6">
        <v>-0.8959487332183016</v>
      </c>
      <c r="DW6">
        <v>-1.1183031331927027</v>
      </c>
      <c r="DX6">
        <v>-1.2273057969289229</v>
      </c>
      <c r="DY6">
        <v>-1.3378118301138437</v>
      </c>
      <c r="DZ6">
        <v>-1.2669278303759666</v>
      </c>
      <c r="EA6">
        <v>-0.28270608481321075</v>
      </c>
      <c r="EB6">
        <v>-1.7027686251122307</v>
      </c>
      <c r="EC6">
        <v>-8.5026253209705319E-2</v>
      </c>
      <c r="ED6">
        <v>-0.99326296202100994</v>
      </c>
      <c r="EE6">
        <v>-1.2896830201143519</v>
      </c>
      <c r="EF6">
        <v>-0.83073881781508763</v>
      </c>
      <c r="EG6">
        <v>-0.9077135706413747</v>
      </c>
      <c r="EH6">
        <v>-0.9003239655472649</v>
      </c>
      <c r="EI6">
        <v>-0.90254470876078319</v>
      </c>
      <c r="EJ6">
        <v>-0.90919793782411351</v>
      </c>
      <c r="EK6">
        <v>-0.89769910287099952</v>
      </c>
      <c r="EL6">
        <v>-0.82697958919397385</v>
      </c>
      <c r="EM6">
        <v>-0.72086217310768796</v>
      </c>
      <c r="EN6">
        <v>-8.3962976980163667E-2</v>
      </c>
      <c r="EO6">
        <v>-0.57158640709353381</v>
      </c>
      <c r="EP6">
        <v>0.53160056348738138</v>
      </c>
      <c r="EQ6">
        <v>-1.1202562736235002</v>
      </c>
      <c r="ER6">
        <v>-1.1775569221275521</v>
      </c>
      <c r="ES6">
        <v>0.69362708562718156</v>
      </c>
      <c r="ET6">
        <v>-0.74930182979589588</v>
      </c>
      <c r="EU6">
        <v>-0.8818301944641922</v>
      </c>
      <c r="EV6">
        <v>-0.80296284925386829</v>
      </c>
      <c r="EW6">
        <v>-0.95789041370872341</v>
      </c>
      <c r="EX6">
        <v>-1.1322079485146828</v>
      </c>
      <c r="EY6">
        <v>-1.2445549075964142</v>
      </c>
    </row>
    <row r="12" spans="1:155" ht="60" x14ac:dyDescent="0.25">
      <c r="A12" s="46" t="s">
        <v>227</v>
      </c>
      <c r="B12" s="46" t="s">
        <v>142</v>
      </c>
      <c r="C12" s="46" t="s">
        <v>143</v>
      </c>
      <c r="D12" s="46" t="s">
        <v>144</v>
      </c>
      <c r="E12" s="46" t="s">
        <v>145</v>
      </c>
      <c r="F12" s="46" t="s">
        <v>146</v>
      </c>
      <c r="G12" s="46" t="s">
        <v>147</v>
      </c>
      <c r="H12" s="46" t="s">
        <v>531</v>
      </c>
      <c r="I12" s="46" t="s">
        <v>532</v>
      </c>
      <c r="J12" s="46" t="s">
        <v>533</v>
      </c>
      <c r="K12" s="46" t="s">
        <v>534</v>
      </c>
      <c r="L12" s="46" t="s">
        <v>535</v>
      </c>
      <c r="M12" s="46" t="s">
        <v>536</v>
      </c>
      <c r="N12" s="46" t="s">
        <v>537</v>
      </c>
      <c r="O12" s="46" t="s">
        <v>538</v>
      </c>
      <c r="P12" s="46" t="s">
        <v>539</v>
      </c>
      <c r="Q12" s="46" t="s">
        <v>540</v>
      </c>
      <c r="R12" s="46" t="s">
        <v>541</v>
      </c>
      <c r="S12" s="46" t="s">
        <v>542</v>
      </c>
      <c r="T12" t="s">
        <v>678</v>
      </c>
      <c r="U12" t="s">
        <v>679</v>
      </c>
      <c r="V12" t="s">
        <v>680</v>
      </c>
      <c r="W12" t="s">
        <v>681</v>
      </c>
      <c r="X12" t="s">
        <v>682</v>
      </c>
      <c r="Y12" t="s">
        <v>683</v>
      </c>
      <c r="Z12" s="46" t="s">
        <v>388</v>
      </c>
      <c r="AA12" s="46" t="s">
        <v>389</v>
      </c>
      <c r="AB12" s="46" t="s">
        <v>390</v>
      </c>
      <c r="AC12" s="46" t="s">
        <v>394</v>
      </c>
      <c r="AD12" s="46" t="s">
        <v>391</v>
      </c>
      <c r="AE12" s="46" t="s">
        <v>392</v>
      </c>
      <c r="AF12" s="46" t="s">
        <v>393</v>
      </c>
    </row>
    <row r="13" spans="1:155" x14ac:dyDescent="0.25">
      <c r="A13">
        <v>443.9</v>
      </c>
      <c r="B13">
        <v>0.24002744218069055</v>
      </c>
      <c r="C13">
        <v>0.10954831572217996</v>
      </c>
      <c r="D13">
        <v>-0.8617806333139808</v>
      </c>
      <c r="E13">
        <v>1.268224848877237</v>
      </c>
      <c r="F13">
        <v>-1.3950371419796066</v>
      </c>
      <c r="G13">
        <v>1.2327360047961566</v>
      </c>
      <c r="H13">
        <v>0.61849738205451488</v>
      </c>
      <c r="I13">
        <v>-1.5215029025980067</v>
      </c>
      <c r="J13">
        <v>0.17069438462758935</v>
      </c>
      <c r="K13">
        <v>-0.73931878175240229</v>
      </c>
      <c r="L13">
        <v>-0.6787828634229145</v>
      </c>
      <c r="M13">
        <v>0.2986448729187462</v>
      </c>
      <c r="N13">
        <v>-0.47682871987540487</v>
      </c>
      <c r="O13">
        <v>1.2004582956826551</v>
      </c>
      <c r="P13">
        <v>-1.8932652452921849E-3</v>
      </c>
      <c r="Q13">
        <v>-1.4389779285445217</v>
      </c>
      <c r="R13" s="45">
        <v>0.12570146505393692</v>
      </c>
      <c r="S13">
        <v>-1.5225601624828011</v>
      </c>
      <c r="T13">
        <v>-0.95952218613671036</v>
      </c>
      <c r="U13">
        <v>-1.0488553488451628</v>
      </c>
      <c r="V13">
        <v>-1.0719713578947727</v>
      </c>
      <c r="W13">
        <v>-0.6375955501605981</v>
      </c>
      <c r="X13">
        <v>1.0079644225407176</v>
      </c>
      <c r="Y13">
        <v>-0.65334117455890039</v>
      </c>
      <c r="Z13">
        <v>-0.65991749162779301</v>
      </c>
      <c r="AA13">
        <v>0.5733989064773074</v>
      </c>
      <c r="AB13">
        <v>-0.70482144454538798</v>
      </c>
      <c r="AC13">
        <v>1.263570187738785</v>
      </c>
      <c r="AD13">
        <v>1.3163828658246972</v>
      </c>
      <c r="AE13">
        <v>1.3532564378397611</v>
      </c>
      <c r="AF13">
        <v>-1.0876855389819966</v>
      </c>
    </row>
    <row r="14" spans="1:155" x14ac:dyDescent="0.25">
      <c r="A14">
        <v>496.6</v>
      </c>
      <c r="B14">
        <v>1.6207755903097154</v>
      </c>
      <c r="C14">
        <v>1.1983347525756023</v>
      </c>
      <c r="D14">
        <v>-3.1219583039762224E-3</v>
      </c>
      <c r="E14">
        <v>0.65706140716206929</v>
      </c>
      <c r="F14">
        <v>-0.53593140862748456</v>
      </c>
      <c r="G14">
        <v>-1.550399286360971</v>
      </c>
      <c r="H14">
        <v>1.1910086813115635</v>
      </c>
      <c r="I14">
        <v>1.2232016763493285</v>
      </c>
      <c r="J14">
        <v>0.12979885497722937</v>
      </c>
      <c r="K14">
        <v>-1.2352541539538446</v>
      </c>
      <c r="L14">
        <v>-0.86294875659967429</v>
      </c>
      <c r="M14">
        <v>1.5946509252076448</v>
      </c>
      <c r="N14">
        <v>-0.16290293383053625</v>
      </c>
      <c r="O14">
        <v>-0.37779990285164916</v>
      </c>
      <c r="P14">
        <v>-1.707596159678715</v>
      </c>
      <c r="Q14">
        <v>-0.30823836582700925</v>
      </c>
      <c r="R14">
        <v>-1.6347696261531399</v>
      </c>
      <c r="S14">
        <v>-0.39441663628345891</v>
      </c>
      <c r="T14">
        <v>-0.97117495383788488</v>
      </c>
      <c r="U14">
        <v>-1.0675061875734149</v>
      </c>
      <c r="V14">
        <v>-0.70295599611095538</v>
      </c>
      <c r="W14">
        <v>-1.1418451065266246</v>
      </c>
      <c r="X14">
        <v>-1.0258724198955018</v>
      </c>
      <c r="Y14">
        <v>0.84159202146570211</v>
      </c>
      <c r="Z14">
        <v>-1.3104310496977114</v>
      </c>
      <c r="AA14">
        <v>0.88120070775249448</v>
      </c>
      <c r="AB14">
        <v>-0.45546992332360042</v>
      </c>
      <c r="AC14">
        <v>0.71063038075117868</v>
      </c>
      <c r="AD14">
        <v>0.67097548764407777</v>
      </c>
      <c r="AE14">
        <v>0.61931077668549384</v>
      </c>
      <c r="AF14">
        <v>1.2957804001125035</v>
      </c>
    </row>
    <row r="15" spans="1:155" x14ac:dyDescent="0.25">
      <c r="A15">
        <v>560</v>
      </c>
      <c r="B15">
        <v>-0.64856939600616315</v>
      </c>
      <c r="C15">
        <v>0.20740339788495632</v>
      </c>
      <c r="D15">
        <v>-0.82349351241215829</v>
      </c>
      <c r="E15">
        <v>-0.73919103258900676</v>
      </c>
      <c r="F15">
        <v>0.61431731924623068</v>
      </c>
      <c r="G15">
        <v>0.1870616879141061</v>
      </c>
      <c r="H15">
        <v>-0.92774607308177237</v>
      </c>
      <c r="I15">
        <v>0.41662182436966227</v>
      </c>
      <c r="J15">
        <v>-1.2144194239650363</v>
      </c>
      <c r="K15">
        <v>0.54844617631688919</v>
      </c>
      <c r="L15">
        <v>0.18942777583895284</v>
      </c>
      <c r="M15">
        <v>-0.49022837630058341</v>
      </c>
      <c r="N15">
        <v>-0.76192961858982655</v>
      </c>
      <c r="O15">
        <v>0.69565135095458175</v>
      </c>
      <c r="P15">
        <v>0.37836112012827655</v>
      </c>
      <c r="Q15">
        <v>0.47098633671222639</v>
      </c>
      <c r="R15">
        <v>0.6441167180691646</v>
      </c>
      <c r="S15">
        <v>0.22644502281617962</v>
      </c>
      <c r="T15">
        <v>-4.3947581044429473E-2</v>
      </c>
      <c r="U15">
        <v>0.29061397800203836</v>
      </c>
      <c r="V15">
        <v>1.359511050690678</v>
      </c>
      <c r="W15">
        <v>-0.3126347249469365</v>
      </c>
      <c r="X15">
        <v>-0.27117824565816262</v>
      </c>
      <c r="Y15">
        <v>0.45401674842228662</v>
      </c>
      <c r="Z15">
        <v>0.27515826566743218</v>
      </c>
      <c r="AA15">
        <v>0.4833604662216347</v>
      </c>
      <c r="AB15">
        <v>-0.53463128440086816</v>
      </c>
      <c r="AC15">
        <v>-0.71363739890567057</v>
      </c>
      <c r="AD15">
        <v>-0.74848239184451515</v>
      </c>
      <c r="AE15">
        <v>-0.85216414149565711</v>
      </c>
      <c r="AF15">
        <v>0.68731352759923714</v>
      </c>
    </row>
    <row r="16" spans="1:155" x14ac:dyDescent="0.25">
      <c r="A16">
        <v>664.5</v>
      </c>
      <c r="B16">
        <v>-0.88902657126301388</v>
      </c>
      <c r="C16">
        <v>6.7259876534088492E-2</v>
      </c>
      <c r="D16">
        <v>8.4644852303426707E-2</v>
      </c>
      <c r="E16">
        <v>-1.1888922717258497</v>
      </c>
      <c r="F16">
        <v>1.1694410118954244</v>
      </c>
      <c r="G16">
        <v>0.19395446391897811</v>
      </c>
      <c r="H16">
        <v>-1.129899658533722</v>
      </c>
      <c r="I16">
        <v>4.9994618924359751E-3</v>
      </c>
      <c r="J16">
        <v>-0.55831288305273985</v>
      </c>
      <c r="K16">
        <v>1.2652603277341001</v>
      </c>
      <c r="L16">
        <v>1.636445507942065</v>
      </c>
      <c r="M16">
        <v>-0.96918713475517648</v>
      </c>
      <c r="N16">
        <v>-0.34397391524918358</v>
      </c>
      <c r="O16">
        <v>-0.13481358997643822</v>
      </c>
      <c r="P16">
        <v>0.49972785984054791</v>
      </c>
      <c r="Q16">
        <v>1.2698277494821355</v>
      </c>
      <c r="R16">
        <v>0.94373424965628805</v>
      </c>
      <c r="S16">
        <v>0.99695616046556934</v>
      </c>
      <c r="T16">
        <v>0.6835180597288919</v>
      </c>
      <c r="U16">
        <v>0.98069501094736866</v>
      </c>
      <c r="V16">
        <v>0.6671505451655948</v>
      </c>
      <c r="W16">
        <v>1.0040168944532442</v>
      </c>
      <c r="X16">
        <v>1.0975044093146391</v>
      </c>
      <c r="Y16">
        <v>0.78622412531664287</v>
      </c>
      <c r="Z16">
        <v>1.2566991965499699</v>
      </c>
      <c r="AA16">
        <v>-0.34319372298577333</v>
      </c>
      <c r="AB16">
        <v>-3.9545401970242214E-2</v>
      </c>
      <c r="AC16">
        <v>-1.1755369163745879</v>
      </c>
      <c r="AD16">
        <v>-1.1140566877457869</v>
      </c>
      <c r="AE16">
        <v>-1.024591420259233</v>
      </c>
      <c r="AF16">
        <v>-0.81144541174958018</v>
      </c>
    </row>
    <row r="17" spans="1:32" x14ac:dyDescent="0.25">
      <c r="A17">
        <v>703.9</v>
      </c>
      <c r="B17">
        <v>-0.323207065221228</v>
      </c>
      <c r="C17">
        <v>-1.5825463427168271</v>
      </c>
      <c r="D17">
        <v>1.6037512517266888</v>
      </c>
      <c r="E17">
        <v>2.7970482755506083E-3</v>
      </c>
      <c r="F17">
        <v>0.14721021946543605</v>
      </c>
      <c r="G17">
        <v>-6.3352870268269995E-2</v>
      </c>
      <c r="H17">
        <v>0.24813966824941608</v>
      </c>
      <c r="I17">
        <v>-0.12332006001342001</v>
      </c>
      <c r="J17">
        <v>1.4722390674129577</v>
      </c>
      <c r="K17">
        <v>0.1608664316552578</v>
      </c>
      <c r="L17">
        <v>-0.28414166375842931</v>
      </c>
      <c r="M17">
        <v>-0.43388028707063131</v>
      </c>
      <c r="N17">
        <v>1.7456351875449507</v>
      </c>
      <c r="O17">
        <v>-1.3834961538091493</v>
      </c>
      <c r="P17">
        <v>0.83140044495518306</v>
      </c>
      <c r="Q17">
        <v>6.402208177169022E-3</v>
      </c>
      <c r="R17">
        <v>-7.8782806626249577E-2</v>
      </c>
      <c r="S17">
        <v>0.69357561548451085</v>
      </c>
      <c r="T17">
        <v>1.2911266612901329</v>
      </c>
      <c r="U17">
        <v>0.84505254746917091</v>
      </c>
      <c r="V17">
        <v>-0.25173424185054488</v>
      </c>
      <c r="W17">
        <v>1.0880584871809154</v>
      </c>
      <c r="X17">
        <v>-0.80841816630169239</v>
      </c>
      <c r="Y17">
        <v>-1.4284917206457315</v>
      </c>
      <c r="Z17">
        <v>0.43849107910810187</v>
      </c>
      <c r="AA17">
        <v>-1.5947663574656636</v>
      </c>
      <c r="AB17">
        <v>1.7344680542400992</v>
      </c>
      <c r="AC17">
        <v>-8.5026253209705319E-2</v>
      </c>
      <c r="AD17">
        <v>-0.12481927387847276</v>
      </c>
      <c r="AE17">
        <v>-9.5811652770365449E-2</v>
      </c>
      <c r="AF17">
        <v>-8.3962976980163667E-2</v>
      </c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08F9-9BAD-43B7-8BC8-E1FE86B3BD88}">
  <sheetPr codeName="Sheet11"/>
  <dimension ref="A1:EK12"/>
  <sheetViews>
    <sheetView workbookViewId="0">
      <selection activeCell="AB28" sqref="AB28"/>
    </sheetView>
  </sheetViews>
  <sheetFormatPr defaultRowHeight="15" x14ac:dyDescent="0.25"/>
  <sheetData>
    <row r="1" spans="1:141" ht="180" x14ac:dyDescent="0.25">
      <c r="A1" s="46" t="s">
        <v>543</v>
      </c>
      <c r="B1" s="46" t="s">
        <v>672</v>
      </c>
      <c r="C1" s="46" t="s">
        <v>673</v>
      </c>
      <c r="D1" s="46" t="s">
        <v>674</v>
      </c>
      <c r="E1" s="46" t="s">
        <v>675</v>
      </c>
      <c r="F1" s="46" t="s">
        <v>676</v>
      </c>
      <c r="G1" s="46" t="s">
        <v>677</v>
      </c>
      <c r="H1" s="46" t="s">
        <v>544</v>
      </c>
      <c r="I1" s="46" t="s">
        <v>545</v>
      </c>
      <c r="J1" s="46" t="s">
        <v>546</v>
      </c>
      <c r="K1" s="46" t="s">
        <v>547</v>
      </c>
      <c r="L1" s="46" t="s">
        <v>548</v>
      </c>
      <c r="M1" s="46" t="s">
        <v>549</v>
      </c>
      <c r="N1" s="46" t="s">
        <v>550</v>
      </c>
      <c r="O1" s="46" t="s">
        <v>551</v>
      </c>
      <c r="P1" s="46" t="s">
        <v>552</v>
      </c>
      <c r="Q1" s="46" t="s">
        <v>553</v>
      </c>
      <c r="R1" s="46" t="s">
        <v>554</v>
      </c>
      <c r="S1" s="46" t="s">
        <v>555</v>
      </c>
      <c r="T1" s="46" t="s">
        <v>556</v>
      </c>
      <c r="U1" s="46" t="s">
        <v>557</v>
      </c>
      <c r="V1" s="46" t="s">
        <v>558</v>
      </c>
      <c r="W1" s="46" t="s">
        <v>559</v>
      </c>
      <c r="X1" s="46" t="s">
        <v>560</v>
      </c>
      <c r="Y1" s="46" t="s">
        <v>561</v>
      </c>
      <c r="Z1" s="46" t="s">
        <v>562</v>
      </c>
      <c r="AA1" s="46" t="s">
        <v>563</v>
      </c>
      <c r="AB1" s="46" t="s">
        <v>564</v>
      </c>
      <c r="AC1" s="46" t="s">
        <v>565</v>
      </c>
      <c r="AD1" s="46" t="s">
        <v>566</v>
      </c>
      <c r="AE1" s="46" t="s">
        <v>567</v>
      </c>
      <c r="AF1" s="46" t="s">
        <v>568</v>
      </c>
      <c r="AG1" s="46" t="s">
        <v>569</v>
      </c>
      <c r="AH1" s="46" t="s">
        <v>570</v>
      </c>
      <c r="AI1" s="46" t="s">
        <v>571</v>
      </c>
      <c r="AJ1" s="46" t="s">
        <v>572</v>
      </c>
      <c r="AK1" s="46" t="s">
        <v>573</v>
      </c>
      <c r="AL1" s="46" t="s">
        <v>574</v>
      </c>
      <c r="AM1" s="46" t="s">
        <v>575</v>
      </c>
      <c r="AN1" s="46" t="s">
        <v>576</v>
      </c>
      <c r="AO1" s="46" t="s">
        <v>577</v>
      </c>
      <c r="AP1" s="46" t="s">
        <v>578</v>
      </c>
      <c r="AQ1" s="46" t="s">
        <v>579</v>
      </c>
      <c r="AR1" s="46" t="s">
        <v>580</v>
      </c>
      <c r="AS1" s="46" t="s">
        <v>581</v>
      </c>
      <c r="AT1" s="46" t="s">
        <v>582</v>
      </c>
      <c r="AU1" s="46" t="s">
        <v>583</v>
      </c>
      <c r="AV1" s="46" t="s">
        <v>584</v>
      </c>
      <c r="AW1" s="46" t="s">
        <v>585</v>
      </c>
      <c r="AX1" s="46" t="s">
        <v>586</v>
      </c>
      <c r="AY1" s="46" t="s">
        <v>587</v>
      </c>
      <c r="AZ1" s="46" t="s">
        <v>588</v>
      </c>
      <c r="BA1" s="46" t="s">
        <v>589</v>
      </c>
      <c r="BB1" s="46" t="s">
        <v>590</v>
      </c>
      <c r="BC1" s="46" t="s">
        <v>591</v>
      </c>
      <c r="BD1" s="46" t="s">
        <v>592</v>
      </c>
      <c r="BE1" s="46" t="s">
        <v>593</v>
      </c>
      <c r="BF1" s="46" t="s">
        <v>594</v>
      </c>
      <c r="BG1" s="46" t="s">
        <v>595</v>
      </c>
      <c r="BH1" s="46" t="s">
        <v>596</v>
      </c>
      <c r="BI1" s="46" t="s">
        <v>597</v>
      </c>
      <c r="BJ1" s="46" t="s">
        <v>598</v>
      </c>
      <c r="BK1" s="46" t="s">
        <v>599</v>
      </c>
      <c r="BL1" s="46" t="s">
        <v>600</v>
      </c>
      <c r="BM1" s="46" t="s">
        <v>601</v>
      </c>
      <c r="BN1" s="46" t="s">
        <v>602</v>
      </c>
      <c r="BO1" s="46" t="s">
        <v>603</v>
      </c>
      <c r="BP1" s="46" t="s">
        <v>604</v>
      </c>
      <c r="BQ1" s="46" t="s">
        <v>605</v>
      </c>
      <c r="BR1" s="46" t="s">
        <v>606</v>
      </c>
      <c r="BS1" s="46" t="s">
        <v>607</v>
      </c>
      <c r="BT1" s="46" t="s">
        <v>608</v>
      </c>
      <c r="BU1" s="46" t="s">
        <v>609</v>
      </c>
      <c r="BV1" s="46" t="s">
        <v>610</v>
      </c>
      <c r="BW1" s="46" t="s">
        <v>611</v>
      </c>
      <c r="BX1" t="s">
        <v>315</v>
      </c>
      <c r="BY1" t="s">
        <v>316</v>
      </c>
      <c r="BZ1" t="s">
        <v>317</v>
      </c>
      <c r="CA1" t="s">
        <v>318</v>
      </c>
      <c r="CB1" t="s">
        <v>319</v>
      </c>
      <c r="CC1" t="s">
        <v>320</v>
      </c>
      <c r="CD1" t="s">
        <v>321</v>
      </c>
      <c r="CE1" t="s">
        <v>322</v>
      </c>
      <c r="CF1" t="s">
        <v>323</v>
      </c>
      <c r="CG1" t="s">
        <v>324</v>
      </c>
      <c r="CH1" t="s">
        <v>325</v>
      </c>
      <c r="CI1" t="s">
        <v>326</v>
      </c>
      <c r="CJ1" t="s">
        <v>327</v>
      </c>
      <c r="CK1" t="s">
        <v>328</v>
      </c>
      <c r="CL1" t="s">
        <v>329</v>
      </c>
      <c r="CM1" t="s">
        <v>330</v>
      </c>
      <c r="CN1" t="s">
        <v>331</v>
      </c>
      <c r="CO1" t="s">
        <v>332</v>
      </c>
      <c r="CP1" t="s">
        <v>333</v>
      </c>
      <c r="CQ1" t="s">
        <v>334</v>
      </c>
      <c r="CR1" t="s">
        <v>335</v>
      </c>
      <c r="CS1" t="s">
        <v>336</v>
      </c>
      <c r="CT1" t="s">
        <v>337</v>
      </c>
      <c r="CU1" t="s">
        <v>338</v>
      </c>
      <c r="CV1" t="s">
        <v>339</v>
      </c>
      <c r="CW1" t="s">
        <v>340</v>
      </c>
      <c r="CX1" t="s">
        <v>341</v>
      </c>
      <c r="CY1" t="s">
        <v>342</v>
      </c>
      <c r="CZ1" t="s">
        <v>343</v>
      </c>
      <c r="DA1" t="s">
        <v>344</v>
      </c>
      <c r="DB1" t="s">
        <v>345</v>
      </c>
      <c r="DC1" t="s">
        <v>346</v>
      </c>
      <c r="DD1" t="s">
        <v>347</v>
      </c>
      <c r="DE1" t="s">
        <v>348</v>
      </c>
      <c r="DF1" t="s">
        <v>349</v>
      </c>
      <c r="DG1" t="s">
        <v>350</v>
      </c>
      <c r="DH1" t="s">
        <v>351</v>
      </c>
      <c r="DI1" t="s">
        <v>352</v>
      </c>
      <c r="DJ1" t="s">
        <v>353</v>
      </c>
      <c r="DK1" t="s">
        <v>354</v>
      </c>
      <c r="DL1" t="s">
        <v>355</v>
      </c>
      <c r="DM1" t="s">
        <v>356</v>
      </c>
      <c r="DN1" t="s">
        <v>357</v>
      </c>
      <c r="DO1" t="s">
        <v>358</v>
      </c>
      <c r="DP1" t="s">
        <v>359</v>
      </c>
      <c r="DQ1" t="s">
        <v>360</v>
      </c>
      <c r="DR1" t="s">
        <v>361</v>
      </c>
      <c r="DS1" t="s">
        <v>362</v>
      </c>
      <c r="DT1" t="s">
        <v>363</v>
      </c>
      <c r="DU1" t="s">
        <v>364</v>
      </c>
      <c r="DV1" t="s">
        <v>365</v>
      </c>
      <c r="DW1" t="s">
        <v>366</v>
      </c>
      <c r="DX1" t="s">
        <v>367</v>
      </c>
      <c r="DY1" t="s">
        <v>368</v>
      </c>
      <c r="DZ1" t="s">
        <v>369</v>
      </c>
      <c r="EA1" t="s">
        <v>370</v>
      </c>
      <c r="EB1" t="s">
        <v>371</v>
      </c>
      <c r="EC1" t="s">
        <v>372</v>
      </c>
      <c r="ED1" t="s">
        <v>373</v>
      </c>
      <c r="EE1" t="s">
        <v>374</v>
      </c>
      <c r="EF1" t="s">
        <v>375</v>
      </c>
      <c r="EG1" t="s">
        <v>376</v>
      </c>
      <c r="EH1" t="s">
        <v>377</v>
      </c>
      <c r="EI1" t="s">
        <v>378</v>
      </c>
      <c r="EJ1" t="s">
        <v>379</v>
      </c>
      <c r="EK1" t="s">
        <v>380</v>
      </c>
    </row>
    <row r="2" spans="1:141" x14ac:dyDescent="0.25">
      <c r="A2">
        <v>400</v>
      </c>
      <c r="B2">
        <v>1.2183915649790658</v>
      </c>
      <c r="C2">
        <v>-0.3065236140099441</v>
      </c>
      <c r="D2">
        <v>-9.9764981483508666E-2</v>
      </c>
      <c r="E2">
        <v>0.29708827631202211</v>
      </c>
      <c r="F2">
        <v>1.97113283060136E-2</v>
      </c>
      <c r="G2">
        <v>-2.0810817669158559</v>
      </c>
      <c r="H2">
        <v>-1.7443758640404694</v>
      </c>
      <c r="I2">
        <v>-1.1341900445616955E-2</v>
      </c>
      <c r="J2">
        <v>-0.85793513843634672</v>
      </c>
      <c r="K2">
        <v>-0.42138887419781107</v>
      </c>
      <c r="L2">
        <v>-0.53624699120177777</v>
      </c>
      <c r="M2">
        <v>0.94391592615904107</v>
      </c>
      <c r="N2">
        <v>0.55685682075521836</v>
      </c>
      <c r="O2">
        <v>1.9121727944563225</v>
      </c>
      <c r="P2">
        <v>0.66363502603589297</v>
      </c>
      <c r="Q2">
        <v>-0.87398383299270266</v>
      </c>
      <c r="R2">
        <v>-0.46714349197354271</v>
      </c>
      <c r="S2">
        <v>-0.40542953982288044</v>
      </c>
      <c r="T2">
        <v>-0.60964681259396758</v>
      </c>
      <c r="U2">
        <v>-0.48142124862461144</v>
      </c>
      <c r="V2">
        <v>-0.57554862323601508</v>
      </c>
      <c r="W2">
        <v>-0.4705306364661142</v>
      </c>
      <c r="X2">
        <v>-0.48371532935801698</v>
      </c>
      <c r="Y2">
        <v>-0.54167271456416033</v>
      </c>
      <c r="Z2">
        <v>-0.64183570416650382</v>
      </c>
      <c r="AA2">
        <v>-0.22191448383481674</v>
      </c>
      <c r="AB2">
        <v>-0.67336708579978388</v>
      </c>
      <c r="AC2">
        <v>-0.47731490229533002</v>
      </c>
      <c r="AD2">
        <v>-0.57612523283238126</v>
      </c>
      <c r="AE2">
        <v>-0.53513484712486648</v>
      </c>
      <c r="AF2">
        <v>-0.54980545453730167</v>
      </c>
      <c r="AG2">
        <v>-0.5406423987412059</v>
      </c>
      <c r="AH2">
        <v>-0.71152639979669063</v>
      </c>
      <c r="AI2">
        <v>-0.42680534174554313</v>
      </c>
      <c r="AJ2">
        <v>-0.74119127694443332</v>
      </c>
      <c r="AK2">
        <v>-4.0994365743388723E-2</v>
      </c>
      <c r="AL2">
        <v>0.23688139936088259</v>
      </c>
      <c r="AM2">
        <v>-0.32497292219917501</v>
      </c>
      <c r="AN2">
        <v>0.24432715851158779</v>
      </c>
      <c r="AO2">
        <v>-0.2815525528875335</v>
      </c>
      <c r="AP2">
        <v>-0.4333307743454109</v>
      </c>
      <c r="AQ2">
        <v>-0.62061396828965276</v>
      </c>
      <c r="AR2">
        <v>0.62499128384597846</v>
      </c>
      <c r="AS2">
        <v>-0.6063049542402581</v>
      </c>
      <c r="AT2">
        <v>-0.82197433338352921</v>
      </c>
      <c r="AU2">
        <v>-0.86256650042615068</v>
      </c>
      <c r="AV2">
        <v>-1.2091422131850345</v>
      </c>
      <c r="AW2">
        <v>-1.3285381319674405</v>
      </c>
      <c r="AX2">
        <v>-1.1605460541263279</v>
      </c>
      <c r="AY2">
        <v>-1.16675955515124</v>
      </c>
      <c r="AZ2">
        <v>-1.1559193956468596</v>
      </c>
      <c r="BA2">
        <v>-1.4373437600340888</v>
      </c>
      <c r="BB2">
        <v>-1.0694310077321001</v>
      </c>
      <c r="BC2">
        <v>0.6269918152967745</v>
      </c>
      <c r="BD2">
        <v>0.36775584616522916</v>
      </c>
      <c r="BE2">
        <v>-1.0870430969637697</v>
      </c>
      <c r="BF2">
        <v>-1.1027374121659812</v>
      </c>
      <c r="BG2">
        <v>-1.0615264476584447</v>
      </c>
      <c r="BH2">
        <v>-0.64029357100259354</v>
      </c>
      <c r="BI2">
        <v>-1.0588103509980851</v>
      </c>
      <c r="BJ2">
        <v>-1.0957668582141435</v>
      </c>
      <c r="BK2">
        <v>-0.97943050801842868</v>
      </c>
      <c r="BL2">
        <v>-0.7916043182970699</v>
      </c>
      <c r="BM2">
        <v>-0.67840867623323142</v>
      </c>
      <c r="BN2">
        <v>-1.1613432167297446</v>
      </c>
      <c r="BO2">
        <v>-1.1419079565364201</v>
      </c>
      <c r="BP2">
        <v>-1.6315778445916547</v>
      </c>
      <c r="BQ2">
        <v>-1.3234704778013073</v>
      </c>
      <c r="BR2">
        <v>-0.94664181649070633</v>
      </c>
      <c r="BS2">
        <v>-0.99326396373850145</v>
      </c>
      <c r="BT2">
        <v>-1.1081306261615891</v>
      </c>
      <c r="BU2">
        <v>-1.0121835753752051</v>
      </c>
      <c r="BV2">
        <v>-0.29758632309251387</v>
      </c>
      <c r="BW2">
        <v>-0.81604652418973112</v>
      </c>
      <c r="BX2">
        <v>1.2890780834057478</v>
      </c>
      <c r="BY2">
        <v>1.8129693706100269</v>
      </c>
      <c r="BZ2">
        <v>2.2141466348211267</v>
      </c>
      <c r="CA2">
        <v>0.83509477538918064</v>
      </c>
      <c r="CB2">
        <v>2.6677289834171094</v>
      </c>
      <c r="CC2">
        <v>0.67030307180051818</v>
      </c>
      <c r="CD2">
        <v>2.1084010746040645</v>
      </c>
      <c r="CE2">
        <v>1.5218572554166769</v>
      </c>
      <c r="CF2">
        <v>2.5005469363043624</v>
      </c>
      <c r="CG2">
        <v>1.7240180123806716</v>
      </c>
      <c r="CH2">
        <v>-1.1174123472242969</v>
      </c>
      <c r="CI2">
        <v>1.1490693861070831</v>
      </c>
      <c r="CJ2">
        <v>-1.3453876040089239</v>
      </c>
      <c r="CK2">
        <v>1.3903227399220872</v>
      </c>
      <c r="CL2">
        <v>1.9223959669586548</v>
      </c>
      <c r="CM2">
        <v>-0.98436126549926628</v>
      </c>
      <c r="CN2">
        <v>1.8818585924386477</v>
      </c>
      <c r="CO2">
        <v>1.3706737361042478</v>
      </c>
      <c r="CP2">
        <v>1.8169632567479925</v>
      </c>
      <c r="CQ2">
        <v>2.039926928376858</v>
      </c>
      <c r="CR2">
        <v>1.7235994892327267</v>
      </c>
      <c r="CS2">
        <v>-1.6331948355704744</v>
      </c>
      <c r="CT2">
        <v>1.8834510829822995</v>
      </c>
      <c r="CU2">
        <v>1.329792395958542</v>
      </c>
      <c r="CV2">
        <v>7.1433358485268619E-2</v>
      </c>
      <c r="CW2">
        <v>-1.1666643358574387</v>
      </c>
      <c r="CX2">
        <v>2.0961223185359503</v>
      </c>
      <c r="CY2">
        <v>2.0166116371456457</v>
      </c>
      <c r="CZ2">
        <v>1.8756142247958085</v>
      </c>
      <c r="DA2">
        <v>1.852790724930808</v>
      </c>
      <c r="DB2">
        <v>0.5037715715244564</v>
      </c>
      <c r="DC2">
        <v>1.9848832633297453</v>
      </c>
      <c r="DD2">
        <v>1.4296148606960726</v>
      </c>
      <c r="DE2">
        <v>1.4183936889885334</v>
      </c>
      <c r="DF2">
        <v>0.56810536372319609</v>
      </c>
      <c r="DG2">
        <v>0.36202504865668006</v>
      </c>
      <c r="DH2">
        <v>2.1977778811128759</v>
      </c>
      <c r="DI2">
        <v>1.7101566574875042</v>
      </c>
      <c r="DJ2">
        <v>1.6970742393461808</v>
      </c>
      <c r="DK2">
        <v>1.9269359855936625</v>
      </c>
      <c r="DL2">
        <v>1.4546392765453078</v>
      </c>
      <c r="DM2">
        <v>2.5595797946688825</v>
      </c>
      <c r="DN2">
        <v>1.3881693135333033</v>
      </c>
      <c r="DO2">
        <v>2.0850767872239806</v>
      </c>
      <c r="DP2">
        <v>1.7994411517916808</v>
      </c>
      <c r="DQ2">
        <v>1.2717879743978042</v>
      </c>
      <c r="DR2">
        <v>1.7078668181810071</v>
      </c>
      <c r="DS2">
        <v>1.1927956617836264</v>
      </c>
      <c r="DT2">
        <v>1.177383321635151</v>
      </c>
      <c r="DU2">
        <v>1.0510920001837769</v>
      </c>
      <c r="DV2">
        <v>0.91732950357264609</v>
      </c>
      <c r="DW2">
        <v>0.89136218258323741</v>
      </c>
      <c r="DX2">
        <v>1.5024998383513861</v>
      </c>
      <c r="DY2">
        <v>1.0546873408802699</v>
      </c>
      <c r="DZ2">
        <v>-0.78219316191561261</v>
      </c>
      <c r="EA2">
        <v>-1.022000573638949</v>
      </c>
      <c r="EB2">
        <v>-0.87074086699530073</v>
      </c>
      <c r="EC2">
        <v>-0.58989966749688638</v>
      </c>
      <c r="ED2">
        <v>1.7162618460000889</v>
      </c>
      <c r="EE2">
        <v>-1.0188798845008349</v>
      </c>
      <c r="EF2">
        <v>2.2193756889030913</v>
      </c>
      <c r="EG2">
        <v>2.0116981957993008</v>
      </c>
      <c r="EH2">
        <v>1.3428403093661641</v>
      </c>
      <c r="EI2">
        <v>1.1306356791192069</v>
      </c>
      <c r="EJ2">
        <v>2.0533523256948545</v>
      </c>
      <c r="EK2">
        <v>0.51229023013121155</v>
      </c>
    </row>
    <row r="3" spans="1:141" x14ac:dyDescent="0.25">
      <c r="A3">
        <v>413</v>
      </c>
      <c r="B3">
        <v>1.357467089012925</v>
      </c>
      <c r="C3">
        <v>-0.53735248867777086</v>
      </c>
      <c r="D3">
        <v>0.14984822172317247</v>
      </c>
      <c r="E3">
        <v>0.34522259419242762</v>
      </c>
      <c r="F3">
        <v>-0.16846200557140584</v>
      </c>
      <c r="G3">
        <v>-0.4794361314019443</v>
      </c>
      <c r="H3">
        <v>-0.79865737421057181</v>
      </c>
      <c r="I3">
        <v>6.5292610083427946E-2</v>
      </c>
      <c r="J3">
        <v>-0.300018211541144</v>
      </c>
      <c r="K3">
        <v>-1.9294739640851428</v>
      </c>
      <c r="L3">
        <v>-2.2699943931524307</v>
      </c>
      <c r="M3">
        <v>0.32007543210404155</v>
      </c>
      <c r="N3">
        <v>1.0287365767411916</v>
      </c>
      <c r="O3">
        <v>1.5671557762116597</v>
      </c>
      <c r="P3">
        <v>2.1269718793249672</v>
      </c>
      <c r="Q3">
        <v>0.84742198740404628</v>
      </c>
      <c r="R3">
        <v>-2.4472242403400322</v>
      </c>
      <c r="S3">
        <v>-0.40850120945711133</v>
      </c>
      <c r="T3">
        <v>-0.63922502131282122</v>
      </c>
      <c r="U3">
        <v>-0.470484977625099</v>
      </c>
      <c r="V3">
        <v>-0.60810395428912667</v>
      </c>
      <c r="W3">
        <v>-0.47648927118359113</v>
      </c>
      <c r="X3">
        <v>-0.51732864238357124</v>
      </c>
      <c r="Y3">
        <v>-0.62157784754269207</v>
      </c>
      <c r="Z3">
        <v>-0.80969998859081183</v>
      </c>
      <c r="AA3">
        <v>-0.50416942522541619</v>
      </c>
      <c r="AB3">
        <v>-0.57375269236349413</v>
      </c>
      <c r="AC3">
        <v>-0.35367675999732401</v>
      </c>
      <c r="AD3">
        <v>-0.50493453055705262</v>
      </c>
      <c r="AE3">
        <v>-0.43471701360883336</v>
      </c>
      <c r="AF3">
        <v>-0.41940118658976455</v>
      </c>
      <c r="AG3">
        <v>-0.43492380833549882</v>
      </c>
      <c r="AH3">
        <v>-0.45641424756618659</v>
      </c>
      <c r="AI3">
        <v>-0.88723536016334381</v>
      </c>
      <c r="AJ3">
        <v>-0.56697082736545457</v>
      </c>
      <c r="AK3">
        <v>4.1821770308730161E-2</v>
      </c>
      <c r="AL3">
        <v>0.18904054157858252</v>
      </c>
      <c r="AM3">
        <v>-0.27209402779102337</v>
      </c>
      <c r="AN3">
        <v>0.33431698091922468</v>
      </c>
      <c r="AO3">
        <v>-0.86279781257880972</v>
      </c>
      <c r="AP3">
        <v>-0.70985998061239797</v>
      </c>
      <c r="AQ3">
        <v>-1.4823254618170465</v>
      </c>
      <c r="AR3">
        <v>0.56247439491935425</v>
      </c>
      <c r="AS3">
        <v>-0.54895923278222658</v>
      </c>
      <c r="AT3">
        <v>-0.54695842549009743</v>
      </c>
      <c r="AU3">
        <v>-0.71999581553813152</v>
      </c>
      <c r="AV3">
        <v>-1.7382497431911095</v>
      </c>
      <c r="AW3">
        <v>-1.3192789311785853</v>
      </c>
      <c r="AX3">
        <v>-1.806072599950334</v>
      </c>
      <c r="AY3">
        <v>-0.62944943382546037</v>
      </c>
      <c r="AZ3">
        <v>-1.1080692328860398</v>
      </c>
      <c r="BA3">
        <v>-1.1573549196775379</v>
      </c>
      <c r="BB3">
        <v>-1.7680848899734327</v>
      </c>
      <c r="BC3">
        <v>2.05554658406838</v>
      </c>
      <c r="BD3">
        <v>2.1380680897689675</v>
      </c>
      <c r="BE3">
        <v>-1.840595485628856</v>
      </c>
      <c r="BF3">
        <v>-1.8430896574295255</v>
      </c>
      <c r="BG3">
        <v>-1.8124319238580708</v>
      </c>
      <c r="BH3">
        <v>6.0548771679137317E-2</v>
      </c>
      <c r="BI3">
        <v>-1.8388211445815958</v>
      </c>
      <c r="BJ3">
        <v>-1.7905010606193543</v>
      </c>
      <c r="BK3">
        <v>-2.2238924073499251</v>
      </c>
      <c r="BL3">
        <v>-2.0725290421231093</v>
      </c>
      <c r="BM3">
        <v>-2.0926928647247318</v>
      </c>
      <c r="BN3">
        <v>-1.8507179787648385</v>
      </c>
      <c r="BO3">
        <v>-1.7080006052082422</v>
      </c>
      <c r="BP3">
        <v>-1.3211199801389988</v>
      </c>
      <c r="BQ3">
        <v>-1.767909424161852</v>
      </c>
      <c r="BR3">
        <v>-1.8034487860377413</v>
      </c>
      <c r="BS3">
        <v>-1.5339730904294246</v>
      </c>
      <c r="BT3">
        <v>-1.7619779914333331</v>
      </c>
      <c r="BU3">
        <v>-1.7374540053811389</v>
      </c>
      <c r="BV3">
        <v>-1.0781487229964246</v>
      </c>
      <c r="BW3">
        <v>-1.7413491981989606</v>
      </c>
      <c r="BX3">
        <v>1.3324855733634597</v>
      </c>
      <c r="BY3">
        <v>1.325910648654212</v>
      </c>
      <c r="BZ3">
        <v>1.4773068457456509</v>
      </c>
      <c r="CA3">
        <v>1.1294584687326381</v>
      </c>
      <c r="CB3">
        <v>1.0660017112828339</v>
      </c>
      <c r="CC3">
        <v>1.2320592476124854</v>
      </c>
      <c r="CD3">
        <v>1.1099297012038218</v>
      </c>
      <c r="CE3">
        <v>1.2724320987729563</v>
      </c>
      <c r="CF3">
        <v>1.0577170662138435</v>
      </c>
      <c r="CG3">
        <v>1.4274940199686921</v>
      </c>
      <c r="CH3">
        <v>0.68757610483139087</v>
      </c>
      <c r="CI3">
        <v>1.0857683028321512</v>
      </c>
      <c r="CJ3">
        <v>-0.86539589365537428</v>
      </c>
      <c r="CK3">
        <v>0.86672444267042781</v>
      </c>
      <c r="CL3">
        <v>1.3061903918182753</v>
      </c>
      <c r="CM3">
        <v>-1.0655691623160142</v>
      </c>
      <c r="CN3">
        <v>1.3424025119322884</v>
      </c>
      <c r="CO3">
        <v>1.3108178886856665</v>
      </c>
      <c r="CP3">
        <v>1.1290551179931207</v>
      </c>
      <c r="CQ3">
        <v>1.3371734331162244</v>
      </c>
      <c r="CR3">
        <v>1.2097007500854149</v>
      </c>
      <c r="CS3">
        <v>0.35684882422235081</v>
      </c>
      <c r="CT3">
        <v>1.2048663248162981</v>
      </c>
      <c r="CU3">
        <v>1.1635554504184742</v>
      </c>
      <c r="CV3">
        <v>0.47797490622124639</v>
      </c>
      <c r="CW3">
        <v>-1.0177592515089497</v>
      </c>
      <c r="CX3">
        <v>1.2123188744285804</v>
      </c>
      <c r="CY3">
        <v>1.6218884357912899</v>
      </c>
      <c r="CZ3">
        <v>1.4982535782496513</v>
      </c>
      <c r="DA3">
        <v>1.6667064340831452</v>
      </c>
      <c r="DB3">
        <v>-0.18543105215127081</v>
      </c>
      <c r="DC3">
        <v>1.6429414311839294</v>
      </c>
      <c r="DD3">
        <v>1.5113667762073961</v>
      </c>
      <c r="DE3">
        <v>1.651794495435188</v>
      </c>
      <c r="DF3">
        <v>1.1224645986914994</v>
      </c>
      <c r="DG3">
        <v>1.7463338914247717</v>
      </c>
      <c r="DH3">
        <v>1.4493158302333007</v>
      </c>
      <c r="DI3">
        <v>1.4302564892101248</v>
      </c>
      <c r="DJ3">
        <v>1.36389192605724</v>
      </c>
      <c r="DK3">
        <v>1.572109288857525</v>
      </c>
      <c r="DL3">
        <v>1.0421282233618141</v>
      </c>
      <c r="DM3">
        <v>0.53885508340156574</v>
      </c>
      <c r="DN3">
        <v>0.79401461400556272</v>
      </c>
      <c r="DO3">
        <v>1.4117998866053203</v>
      </c>
      <c r="DP3">
        <v>1.7266294439410093</v>
      </c>
      <c r="DQ3">
        <v>0.41354772750716634</v>
      </c>
      <c r="DR3">
        <v>1.5378656557544113</v>
      </c>
      <c r="DS3">
        <v>1.4324759991731373</v>
      </c>
      <c r="DT3">
        <v>1.4901410042787961</v>
      </c>
      <c r="DU3">
        <v>1.4513011632843769</v>
      </c>
      <c r="DV3">
        <v>1.357267616991932</v>
      </c>
      <c r="DW3">
        <v>1.2937252597749662</v>
      </c>
      <c r="DX3">
        <v>1.6586031130480374</v>
      </c>
      <c r="DY3">
        <v>1.2434762539225446</v>
      </c>
      <c r="DZ3">
        <v>-0.5710277824899449</v>
      </c>
      <c r="EA3">
        <v>-0.72606327258201064</v>
      </c>
      <c r="EB3">
        <v>-0.41445265036422313</v>
      </c>
      <c r="EC3">
        <v>3.8744153946083458E-2</v>
      </c>
      <c r="ED3">
        <v>1.1688967507157171</v>
      </c>
      <c r="EE3">
        <v>-1.050819257166673</v>
      </c>
      <c r="EF3">
        <v>1.3664849105159285</v>
      </c>
      <c r="EG3">
        <v>1.5505968134903469</v>
      </c>
      <c r="EH3">
        <v>1.1627398239693487</v>
      </c>
      <c r="EI3">
        <v>1.2184270585232797</v>
      </c>
      <c r="EJ3">
        <v>1.4697808473465603</v>
      </c>
      <c r="EK3">
        <v>0.95117322265049842</v>
      </c>
    </row>
    <row r="4" spans="1:141" x14ac:dyDescent="0.25">
      <c r="A4">
        <v>443</v>
      </c>
      <c r="B4">
        <v>1.3223429389776193</v>
      </c>
      <c r="C4">
        <v>-0.56004040864849369</v>
      </c>
      <c r="D4">
        <v>0.20081242691630977</v>
      </c>
      <c r="E4">
        <v>0.93954059513271493</v>
      </c>
      <c r="F4">
        <v>-0.41350363829059589</v>
      </c>
      <c r="G4">
        <v>0.9133007096007133</v>
      </c>
      <c r="H4">
        <v>1.2420595090083473</v>
      </c>
      <c r="I4">
        <v>-0.40062156333250254</v>
      </c>
      <c r="J4">
        <v>0.48042128744689844</v>
      </c>
      <c r="K4">
        <v>-0.88122054202931865</v>
      </c>
      <c r="L4">
        <v>0.58713559768488532</v>
      </c>
      <c r="M4">
        <v>1.1103004578180415</v>
      </c>
      <c r="N4">
        <v>1.0588334305492959</v>
      </c>
      <c r="O4">
        <v>0.68999478030666528</v>
      </c>
      <c r="P4">
        <v>1.325827061296482</v>
      </c>
      <c r="Q4">
        <v>0.8703023857871367</v>
      </c>
      <c r="R4">
        <v>0.23318337057947655</v>
      </c>
      <c r="S4">
        <v>-0.38095514677698339</v>
      </c>
      <c r="T4">
        <v>-0.45206093638864292</v>
      </c>
      <c r="U4">
        <v>-0.36949092871109118</v>
      </c>
      <c r="V4">
        <v>-0.43161121165962019</v>
      </c>
      <c r="W4">
        <v>-0.40998137309276927</v>
      </c>
      <c r="X4">
        <v>-0.45832743342790699</v>
      </c>
      <c r="Y4">
        <v>-0.57113813849540884</v>
      </c>
      <c r="Z4">
        <v>-0.52678266057603906</v>
      </c>
      <c r="AA4">
        <v>-0.63441122451227194</v>
      </c>
      <c r="AB4">
        <v>-0.25133012491505952</v>
      </c>
      <c r="AC4">
        <v>-0.11233357206084751</v>
      </c>
      <c r="AD4">
        <v>-0.16361124342543198</v>
      </c>
      <c r="AE4">
        <v>-0.10150723010676317</v>
      </c>
      <c r="AF4">
        <v>-4.6589043427227687E-2</v>
      </c>
      <c r="AG4">
        <v>-0.10625316090607743</v>
      </c>
      <c r="AH4">
        <v>0.38451277167250286</v>
      </c>
      <c r="AI4">
        <v>0.46478166135598725</v>
      </c>
      <c r="AJ4">
        <v>0.48012318886048594</v>
      </c>
      <c r="AK4">
        <v>-0.14111986781668592</v>
      </c>
      <c r="AL4">
        <v>-0.60316782743222075</v>
      </c>
      <c r="AM4">
        <v>-0.30127553890314768</v>
      </c>
      <c r="AN4">
        <v>-0.85532481540750338</v>
      </c>
      <c r="AO4">
        <v>-1.9487712291534764</v>
      </c>
      <c r="AP4">
        <v>-1.1888203158653545</v>
      </c>
      <c r="AQ4">
        <v>-1.2206795078293897</v>
      </c>
      <c r="AR4">
        <v>-0.40286880617937315</v>
      </c>
      <c r="AS4">
        <v>-5.1245156620547024E-2</v>
      </c>
      <c r="AT4">
        <v>0.33172727551608433</v>
      </c>
      <c r="AU4">
        <v>0.29313571569223179</v>
      </c>
      <c r="AV4">
        <v>0.32583968939140756</v>
      </c>
      <c r="AW4">
        <v>0.53967524150414348</v>
      </c>
      <c r="AX4">
        <v>0.49964748478759063</v>
      </c>
      <c r="AY4">
        <v>0.52508157788656529</v>
      </c>
      <c r="AZ4">
        <v>0.36273162722855679</v>
      </c>
      <c r="BA4">
        <v>-9.7431264897111999E-3</v>
      </c>
      <c r="BB4">
        <v>0.12131670968406223</v>
      </c>
      <c r="BC4">
        <v>0.61202888843029846</v>
      </c>
      <c r="BD4">
        <v>0.71292779337326551</v>
      </c>
      <c r="BE4">
        <v>-0.35913094608563478</v>
      </c>
      <c r="BF4">
        <v>-0.37939956777441708</v>
      </c>
      <c r="BG4">
        <v>-0.32558566130164301</v>
      </c>
      <c r="BH4">
        <v>0.31514429128897725</v>
      </c>
      <c r="BI4">
        <v>-0.53657601695152868</v>
      </c>
      <c r="BJ4">
        <v>0.12928686135210596</v>
      </c>
      <c r="BK4">
        <v>0.48209343236764224</v>
      </c>
      <c r="BL4">
        <v>0.79125945214391125</v>
      </c>
      <c r="BM4">
        <v>-0.27324654305074048</v>
      </c>
      <c r="BN4">
        <v>-2.3303764959236264E-2</v>
      </c>
      <c r="BO4">
        <v>0.73114241020977799</v>
      </c>
      <c r="BP4">
        <v>1.1908520798597686</v>
      </c>
      <c r="BQ4">
        <v>0.92328400738234206</v>
      </c>
      <c r="BR4">
        <v>-0.8239052951015633</v>
      </c>
      <c r="BS4">
        <v>1.0726452837832987</v>
      </c>
      <c r="BT4">
        <v>0.47821566872097915</v>
      </c>
      <c r="BU4">
        <v>0.6375208304080624</v>
      </c>
      <c r="BV4">
        <v>-1.5407743346642231</v>
      </c>
      <c r="BW4">
        <v>-0.96900692476233585</v>
      </c>
      <c r="BX4">
        <v>1.2635796947536153</v>
      </c>
      <c r="BY4">
        <v>0.74988681481779629</v>
      </c>
      <c r="BZ4">
        <v>0.25089754658599123</v>
      </c>
      <c r="CA4">
        <v>0.80024362132641358</v>
      </c>
      <c r="CB4">
        <v>-3.2210894512075393E-2</v>
      </c>
      <c r="CC4">
        <v>1.4622114996705351</v>
      </c>
      <c r="CD4">
        <v>0.42023459107352951</v>
      </c>
      <c r="CE4">
        <v>0.6986183614367244</v>
      </c>
      <c r="CF4">
        <v>7.9636945097555256E-2</v>
      </c>
      <c r="CG4">
        <v>0.96885791815854938</v>
      </c>
      <c r="CH4">
        <v>0.19293448605293062</v>
      </c>
      <c r="CI4">
        <v>1.1821095568485007</v>
      </c>
      <c r="CJ4">
        <v>-0.89164410178339537</v>
      </c>
      <c r="CK4">
        <v>0.68485263582263478</v>
      </c>
      <c r="CL4">
        <v>0.68157350596423161</v>
      </c>
      <c r="CM4">
        <v>-1.1323519228178383</v>
      </c>
      <c r="CN4">
        <v>0.66544603891361009</v>
      </c>
      <c r="CO4">
        <v>0.94246887823094683</v>
      </c>
      <c r="CP4">
        <v>0.40216766167056439</v>
      </c>
      <c r="CQ4">
        <v>0.6029674536804106</v>
      </c>
      <c r="CR4">
        <v>0.93559015651512578</v>
      </c>
      <c r="CS4">
        <v>1.9213960642043288</v>
      </c>
      <c r="CT4">
        <v>0.87515641840674008</v>
      </c>
      <c r="CU4">
        <v>0.85016389356074118</v>
      </c>
      <c r="CV4">
        <v>-1.2159229224943724</v>
      </c>
      <c r="CW4">
        <v>-1.1498979636220172</v>
      </c>
      <c r="CX4">
        <v>0.43136550265979706</v>
      </c>
      <c r="CY4">
        <v>0.5936233028887713</v>
      </c>
      <c r="CZ4">
        <v>0.8481595888894915</v>
      </c>
      <c r="DA4">
        <v>0.24926219538515446</v>
      </c>
      <c r="DB4">
        <v>-0.84222991794864444</v>
      </c>
      <c r="DC4">
        <v>0.73934795208212167</v>
      </c>
      <c r="DD4">
        <v>1.1178326413066368</v>
      </c>
      <c r="DE4">
        <v>0.96993576760291256</v>
      </c>
      <c r="DF4">
        <v>0.55600552112397561</v>
      </c>
      <c r="DG4">
        <v>1.7381884690191127</v>
      </c>
      <c r="DH4">
        <v>0.52906657507783472</v>
      </c>
      <c r="DI4">
        <v>0.89261727965997117</v>
      </c>
      <c r="DJ4">
        <v>0.78224945867332363</v>
      </c>
      <c r="DK4">
        <v>0.72115185760466427</v>
      </c>
      <c r="DL4">
        <v>0.62769457224125302</v>
      </c>
      <c r="DM4">
        <v>2.0902826095809443E-2</v>
      </c>
      <c r="DN4">
        <v>0.2589337708057165</v>
      </c>
      <c r="DO4">
        <v>0.64755383793723709</v>
      </c>
      <c r="DP4">
        <v>0.85954083862048813</v>
      </c>
      <c r="DQ4">
        <v>0.12976986234940829</v>
      </c>
      <c r="DR4">
        <v>0.7835081924428674</v>
      </c>
      <c r="DS4">
        <v>0.71118465567864686</v>
      </c>
      <c r="DT4">
        <v>1.191458416257138</v>
      </c>
      <c r="DU4">
        <v>1.23523095917799</v>
      </c>
      <c r="DV4">
        <v>1.2691055339251793</v>
      </c>
      <c r="DW4">
        <v>1.2399455516714653</v>
      </c>
      <c r="DX4">
        <v>1.0581152251457417</v>
      </c>
      <c r="DY4">
        <v>0.88970209599493222</v>
      </c>
      <c r="DZ4">
        <v>-0.66305270990476972</v>
      </c>
      <c r="EA4">
        <v>-0.67721347295180401</v>
      </c>
      <c r="EB4">
        <v>-0.49414669061331951</v>
      </c>
      <c r="EC4">
        <v>-2.9288735147921591E-2</v>
      </c>
      <c r="ED4">
        <v>0.86134959607862949</v>
      </c>
      <c r="EE4">
        <v>-1.0664596360939593</v>
      </c>
      <c r="EF4">
        <v>0.57888381851572568</v>
      </c>
      <c r="EG4">
        <v>0.69186367918107905</v>
      </c>
      <c r="EH4">
        <v>1.0692469523001247</v>
      </c>
      <c r="EI4">
        <v>0.97907225984802726</v>
      </c>
      <c r="EJ4">
        <v>0.60496591204913319</v>
      </c>
      <c r="EK4">
        <v>0.37251656404065331</v>
      </c>
    </row>
    <row r="5" spans="1:141" x14ac:dyDescent="0.25">
      <c r="A5">
        <v>490</v>
      </c>
      <c r="B5">
        <v>0.9217596624136517</v>
      </c>
      <c r="C5">
        <v>-2.677439794477425E-3</v>
      </c>
      <c r="D5">
        <v>-0.57188826164799789</v>
      </c>
      <c r="E5">
        <v>1.2144318490096835</v>
      </c>
      <c r="F5">
        <v>-0.60283510541962937</v>
      </c>
      <c r="G5">
        <v>1.738817984257659</v>
      </c>
      <c r="H5">
        <v>2.0491773601758791</v>
      </c>
      <c r="I5">
        <v>-1.0661645455781277</v>
      </c>
      <c r="J5">
        <v>0.4278816968943191</v>
      </c>
      <c r="K5">
        <v>1.1265061467094577</v>
      </c>
      <c r="L5">
        <v>2.0428229094137036</v>
      </c>
      <c r="M5">
        <v>1.5234098704996339</v>
      </c>
      <c r="N5">
        <v>0.78736116314414506</v>
      </c>
      <c r="O5">
        <v>0.12056833053202289</v>
      </c>
      <c r="P5">
        <v>0.23986333837404933</v>
      </c>
      <c r="Q5">
        <v>9.9468575688727009E-2</v>
      </c>
      <c r="R5">
        <v>1.8727916823916519</v>
      </c>
      <c r="S5">
        <v>-0.34415758134527286</v>
      </c>
      <c r="T5">
        <v>-0.1533552898379979</v>
      </c>
      <c r="U5">
        <v>-0.13926220935247621</v>
      </c>
      <c r="V5">
        <v>-0.1081407479629771</v>
      </c>
      <c r="W5">
        <v>-0.18816661274957364</v>
      </c>
      <c r="X5">
        <v>-0.22143048176952551</v>
      </c>
      <c r="Y5">
        <v>-0.43057670765888983</v>
      </c>
      <c r="Z5">
        <v>-0.28491388108965099</v>
      </c>
      <c r="AA5">
        <v>-0.62559373877984648</v>
      </c>
      <c r="AB5">
        <v>0.12276943571321636</v>
      </c>
      <c r="AC5">
        <v>0.16375477791893567</v>
      </c>
      <c r="AD5">
        <v>1.582690081062094E-2</v>
      </c>
      <c r="AE5">
        <v>3.8514178747087431E-3</v>
      </c>
      <c r="AF5">
        <v>0.12066158162783006</v>
      </c>
      <c r="AG5">
        <v>7.1249815883247275E-2</v>
      </c>
      <c r="AH5">
        <v>0.67791156176395984</v>
      </c>
      <c r="AI5">
        <v>1.001154869275322</v>
      </c>
      <c r="AJ5">
        <v>0.61354930438104149</v>
      </c>
      <c r="AK5">
        <v>-0.45582289912791918</v>
      </c>
      <c r="AL5">
        <v>-1.3244581956875721</v>
      </c>
      <c r="AM5">
        <v>-0.37852028249830127</v>
      </c>
      <c r="AN5">
        <v>-2.0832793405037457</v>
      </c>
      <c r="AO5">
        <v>-0.21761729407175101</v>
      </c>
      <c r="AP5">
        <v>-0.99109126436460926</v>
      </c>
      <c r="AQ5">
        <v>-0.40569824018315009</v>
      </c>
      <c r="AR5">
        <v>-1.420862399005455</v>
      </c>
      <c r="AS5">
        <v>0.54572166814985368</v>
      </c>
      <c r="AT5">
        <v>0.69238956957968489</v>
      </c>
      <c r="AU5">
        <v>0.74411884998701239</v>
      </c>
      <c r="AV5">
        <v>1.634709732201046</v>
      </c>
      <c r="AW5">
        <v>1.62042272049512</v>
      </c>
      <c r="AX5">
        <v>1.9545459432741157</v>
      </c>
      <c r="AY5">
        <v>0.97644524653126863</v>
      </c>
      <c r="AZ5">
        <v>1.365492408522829</v>
      </c>
      <c r="BA5">
        <v>0.97168772226808142</v>
      </c>
      <c r="BB5">
        <v>2.1062376575504227</v>
      </c>
      <c r="BC5">
        <v>-0.73844248211467534</v>
      </c>
      <c r="BD5">
        <v>-0.73054473410182597</v>
      </c>
      <c r="BE5">
        <v>1.7584604221860145</v>
      </c>
      <c r="BF5">
        <v>1.7704533908331159</v>
      </c>
      <c r="BG5">
        <v>1.762992404976615</v>
      </c>
      <c r="BH5">
        <v>5.8797328383880652E-2</v>
      </c>
      <c r="BI5">
        <v>1.3748105839728437</v>
      </c>
      <c r="BJ5">
        <v>2.1014921712837542</v>
      </c>
      <c r="BK5">
        <v>1.8900441635632577</v>
      </c>
      <c r="BL5">
        <v>2.0866756738239713</v>
      </c>
      <c r="BM5">
        <v>1.3380449810361792</v>
      </c>
      <c r="BN5">
        <v>1.9858396104762674</v>
      </c>
      <c r="BO5">
        <v>2.2414467482995706</v>
      </c>
      <c r="BP5">
        <v>1.7504306258500555</v>
      </c>
      <c r="BQ5">
        <v>1.8319243543098185</v>
      </c>
      <c r="BR5">
        <v>0.85152048132945291</v>
      </c>
      <c r="BS5">
        <v>2.2981795821583293</v>
      </c>
      <c r="BT5">
        <v>2.2167618351971181</v>
      </c>
      <c r="BU5">
        <v>2.2653130024229591</v>
      </c>
      <c r="BV5">
        <v>-1.0239698560337511</v>
      </c>
      <c r="BW5">
        <v>1.1977260097678688</v>
      </c>
      <c r="BX5">
        <v>1.0053182634917353</v>
      </c>
      <c r="BY5">
        <v>0.46550244698793297</v>
      </c>
      <c r="BZ5">
        <v>-0.39932069684698357</v>
      </c>
      <c r="CA5">
        <v>0.74206914600672524</v>
      </c>
      <c r="CB5">
        <v>-0.33837595486124139</v>
      </c>
      <c r="CC5">
        <v>1.2981203063438198</v>
      </c>
      <c r="CD5">
        <v>0.35916149270455922</v>
      </c>
      <c r="CE5">
        <v>0.42754932990663441</v>
      </c>
      <c r="CF5">
        <v>7.996972893394598E-2</v>
      </c>
      <c r="CG5">
        <v>0.36493114174406477</v>
      </c>
      <c r="CH5">
        <v>1.016231357107747</v>
      </c>
      <c r="CI5">
        <v>1.1127714368714672</v>
      </c>
      <c r="CJ5">
        <v>-0.69462419982513679</v>
      </c>
      <c r="CK5">
        <v>0.74579228017995358</v>
      </c>
      <c r="CL5">
        <v>0.45178711239596997</v>
      </c>
      <c r="CM5">
        <v>-1.1132152019102235</v>
      </c>
      <c r="CN5">
        <v>0.39559638403639763</v>
      </c>
      <c r="CO5">
        <v>0.69383286280083289</v>
      </c>
      <c r="CP5">
        <v>0.10989570142985995</v>
      </c>
      <c r="CQ5">
        <v>0.31478971687764451</v>
      </c>
      <c r="CR5">
        <v>0.81302682558047978</v>
      </c>
      <c r="CS5">
        <v>1.6492372433616622</v>
      </c>
      <c r="CT5">
        <v>0.73017664923085424</v>
      </c>
      <c r="CU5">
        <v>0.7909503908394826</v>
      </c>
      <c r="CV5">
        <v>-2.1366255737352495</v>
      </c>
      <c r="CW5">
        <v>-1.1552022162328879</v>
      </c>
      <c r="CX5">
        <v>0.22735806567627073</v>
      </c>
      <c r="CY5">
        <v>4.9394315801044959E-3</v>
      </c>
      <c r="CZ5">
        <v>0.3946059136899237</v>
      </c>
      <c r="DA5">
        <v>-0.23560917540590895</v>
      </c>
      <c r="DB5">
        <v>-1.2426793961300078</v>
      </c>
      <c r="DC5">
        <v>3.0331166729235066E-3</v>
      </c>
      <c r="DD5">
        <v>0.69266565972455141</v>
      </c>
      <c r="DE5">
        <v>0.46148591595592375</v>
      </c>
      <c r="DF5">
        <v>0.46555383622741686</v>
      </c>
      <c r="DG5">
        <v>0.81565941910639572</v>
      </c>
      <c r="DH5">
        <v>0.12799126553991846</v>
      </c>
      <c r="DI5">
        <v>0.53881506270516699</v>
      </c>
      <c r="DJ5">
        <v>0.49409115373987056</v>
      </c>
      <c r="DK5">
        <v>0.16662346758859195</v>
      </c>
      <c r="DL5">
        <v>0.61569325465005298</v>
      </c>
      <c r="DM5">
        <v>-0.24727735600442347</v>
      </c>
      <c r="DN5">
        <v>7.8830154228365187E-2</v>
      </c>
      <c r="DO5">
        <v>0.21938585861414472</v>
      </c>
      <c r="DP5">
        <v>0.12737298354321572</v>
      </c>
      <c r="DQ5">
        <v>1.1498629006953154</v>
      </c>
      <c r="DR5">
        <v>0.26703209658263233</v>
      </c>
      <c r="DS5">
        <v>0.48898351050874372</v>
      </c>
      <c r="DT5">
        <v>0.81186044023369797</v>
      </c>
      <c r="DU5">
        <v>0.8850399514661933</v>
      </c>
      <c r="DV5">
        <v>0.99637006798101713</v>
      </c>
      <c r="DW5">
        <v>1.0251158689692847</v>
      </c>
      <c r="DX5">
        <v>0.50613985008159479</v>
      </c>
      <c r="DY5">
        <v>0.82017387152825838</v>
      </c>
      <c r="DZ5">
        <v>-0.51887196051660023</v>
      </c>
      <c r="EA5">
        <v>-0.44893547707139325</v>
      </c>
      <c r="EB5">
        <v>-0.32368082912794294</v>
      </c>
      <c r="EC5">
        <v>8.5433684321782416E-2</v>
      </c>
      <c r="ED5">
        <v>0.77316074700429183</v>
      </c>
      <c r="EE5">
        <v>-1.0515566752470076</v>
      </c>
      <c r="EF5">
        <v>0.16497018906042968</v>
      </c>
      <c r="EG5">
        <v>0.17580806404396898</v>
      </c>
      <c r="EH5">
        <v>0.99220622331622899</v>
      </c>
      <c r="EI5">
        <v>0.87204941760216315</v>
      </c>
      <c r="EJ5">
        <v>0.18872362383996272</v>
      </c>
      <c r="EK5">
        <v>0.30287222180024831</v>
      </c>
    </row>
    <row r="6" spans="1:141" x14ac:dyDescent="0.25">
      <c r="A6">
        <v>510</v>
      </c>
      <c r="B6">
        <v>-4.304574958943351E-2</v>
      </c>
      <c r="C6">
        <v>0.6074486660095284</v>
      </c>
      <c r="D6">
        <v>-1.4067397686882892</v>
      </c>
      <c r="E6">
        <v>0.29388046474811907</v>
      </c>
      <c r="F6">
        <v>-0.65776904852792428</v>
      </c>
      <c r="G6">
        <v>0.97160564095273083</v>
      </c>
      <c r="H6">
        <v>0.51469000613310167</v>
      </c>
      <c r="I6">
        <v>-1.9404789669788096</v>
      </c>
      <c r="J6">
        <v>-0.53958833950891238</v>
      </c>
      <c r="K6">
        <v>0.80544298943895365</v>
      </c>
      <c r="L6">
        <v>-6.413611103972805E-2</v>
      </c>
      <c r="M6">
        <v>0.37381147001898918</v>
      </c>
      <c r="N6">
        <v>0.22937115501776681</v>
      </c>
      <c r="O6">
        <v>-0.56053667245093286</v>
      </c>
      <c r="P6">
        <v>-0.45273195079984446</v>
      </c>
      <c r="Q6">
        <v>-0.67242341300446318</v>
      </c>
      <c r="R6">
        <v>5.100752113343314E-2</v>
      </c>
      <c r="S6">
        <v>-0.1721775625517761</v>
      </c>
      <c r="T6">
        <v>0.16267760125388303</v>
      </c>
      <c r="U6">
        <v>6.9525688568233282E-2</v>
      </c>
      <c r="V6">
        <v>0.29487117448293548</v>
      </c>
      <c r="W6">
        <v>0.19549261469011014</v>
      </c>
      <c r="X6">
        <v>7.9614370295472109E-2</v>
      </c>
      <c r="Y6">
        <v>-0.1460175583165563</v>
      </c>
      <c r="Z6">
        <v>-0.21255210066144711</v>
      </c>
      <c r="AA6">
        <v>-0.67757660105958684</v>
      </c>
      <c r="AB6">
        <v>0.36464329259410011</v>
      </c>
      <c r="AC6">
        <v>0.116704969155945</v>
      </c>
      <c r="AD6">
        <v>-9.56592371000414E-2</v>
      </c>
      <c r="AE6">
        <v>-0.32870891149360804</v>
      </c>
      <c r="AF6">
        <v>-0.30302500540939392</v>
      </c>
      <c r="AG6">
        <v>-0.16874782633394256</v>
      </c>
      <c r="AH6">
        <v>0.16993959282816967</v>
      </c>
      <c r="AI6">
        <v>-0.13725896259595524</v>
      </c>
      <c r="AJ6">
        <v>-0.48335749239153442</v>
      </c>
      <c r="AK6">
        <v>-1.2805666349038345</v>
      </c>
      <c r="AL6">
        <v>-1.7622153962296676</v>
      </c>
      <c r="AM6">
        <v>-0.65999291327668974</v>
      </c>
      <c r="AN6">
        <v>-1.2725595426802989</v>
      </c>
      <c r="AO6">
        <v>2.1052563171623442</v>
      </c>
      <c r="AP6">
        <v>2.2299064720671149</v>
      </c>
      <c r="AQ6">
        <v>2.0431939806492987</v>
      </c>
      <c r="AR6">
        <v>-1.8895299701560504</v>
      </c>
      <c r="AS6">
        <v>0.4870700439808815</v>
      </c>
      <c r="AT6">
        <v>0.27334662289029676</v>
      </c>
      <c r="AU6">
        <v>0.13110833892934731</v>
      </c>
      <c r="AV6">
        <v>0.46013696155617295</v>
      </c>
      <c r="AW6">
        <v>0.28408950360689211</v>
      </c>
      <c r="AX6">
        <v>0.36837172431526927</v>
      </c>
      <c r="AY6">
        <v>-0.16043460902523288</v>
      </c>
      <c r="AZ6">
        <v>0.20217616899619206</v>
      </c>
      <c r="BA6">
        <v>0.70792291958760767</v>
      </c>
      <c r="BB6">
        <v>1.1079522712994681</v>
      </c>
      <c r="BC6">
        <v>-0.63893032442411302</v>
      </c>
      <c r="BD6">
        <v>-0.64956512260043631</v>
      </c>
      <c r="BE6">
        <v>1.4738829132514664</v>
      </c>
      <c r="BF6">
        <v>1.4396596252927243</v>
      </c>
      <c r="BG6">
        <v>1.5217582268952077</v>
      </c>
      <c r="BH6">
        <v>-0.4918955358404683</v>
      </c>
      <c r="BI6">
        <v>1.7502224366970933</v>
      </c>
      <c r="BJ6">
        <v>1.060922371818908</v>
      </c>
      <c r="BK6">
        <v>3.8870704249240336E-2</v>
      </c>
      <c r="BL6">
        <v>-8.4426715210825676E-2</v>
      </c>
      <c r="BM6">
        <v>0.29019648411550181</v>
      </c>
      <c r="BN6">
        <v>1.1219975226597054</v>
      </c>
      <c r="BO6">
        <v>0.40808564613827947</v>
      </c>
      <c r="BP6">
        <v>-0.23172902124727263</v>
      </c>
      <c r="BQ6">
        <v>-0.19385951302019502</v>
      </c>
      <c r="BR6">
        <v>1.9485721441909862</v>
      </c>
      <c r="BS6">
        <v>0.19167980114194061</v>
      </c>
      <c r="BT6">
        <v>0.6864786524748181</v>
      </c>
      <c r="BU6">
        <v>0.56621812408709071</v>
      </c>
      <c r="BV6">
        <v>1.7857039378503916</v>
      </c>
      <c r="BW6">
        <v>1.9389744474023165</v>
      </c>
      <c r="BX6">
        <v>-0.28794225914665167</v>
      </c>
      <c r="BY6">
        <v>0.23483107902617245</v>
      </c>
      <c r="BZ6">
        <v>-0.78340178151920503</v>
      </c>
      <c r="CA6">
        <v>1.3268640002629097</v>
      </c>
      <c r="CB6">
        <v>-0.4129622052868393</v>
      </c>
      <c r="CC6">
        <v>1.8445199922873804E-2</v>
      </c>
      <c r="CD6">
        <v>0.4050467441032749</v>
      </c>
      <c r="CE6">
        <v>0.67915343142412654</v>
      </c>
      <c r="CF6">
        <v>-0.22328200513037047</v>
      </c>
      <c r="CG6">
        <v>-0.77762469206288143</v>
      </c>
      <c r="CH6">
        <v>1.2656553165044202</v>
      </c>
      <c r="CI6">
        <v>0.52404217870700998</v>
      </c>
      <c r="CJ6">
        <v>1.4452820790176715</v>
      </c>
      <c r="CK6">
        <v>0.77881188655250255</v>
      </c>
      <c r="CL6">
        <v>0.19766933240508763</v>
      </c>
      <c r="CM6">
        <v>-0.50036509320885747</v>
      </c>
      <c r="CN6">
        <v>0.33315720752594186</v>
      </c>
      <c r="CO6">
        <v>0.50944656649709974</v>
      </c>
      <c r="CP6">
        <v>0.42757600785856964</v>
      </c>
      <c r="CQ6">
        <v>6.4749179782438562E-2</v>
      </c>
      <c r="CR6">
        <v>0.12781099410221483</v>
      </c>
      <c r="CS6">
        <v>-0.17724761029933575</v>
      </c>
      <c r="CT6">
        <v>-5.060563638743544E-2</v>
      </c>
      <c r="CU6">
        <v>0.77022674261907831</v>
      </c>
      <c r="CV6">
        <v>-0.13000194447075031</v>
      </c>
      <c r="CW6">
        <v>-5.6592380673884165E-3</v>
      </c>
      <c r="CX6">
        <v>0.38110174835201632</v>
      </c>
      <c r="CY6">
        <v>-0.13257854748089482</v>
      </c>
      <c r="CZ6">
        <v>-0.31063739799600837</v>
      </c>
      <c r="DA6">
        <v>0.64470741911285456</v>
      </c>
      <c r="DB6">
        <v>-1.4336954585739172</v>
      </c>
      <c r="DC6">
        <v>-0.79037577011838722</v>
      </c>
      <c r="DD6">
        <v>5.5905742330757846E-2</v>
      </c>
      <c r="DE6">
        <v>0.2860096341393028</v>
      </c>
      <c r="DF6">
        <v>1.6711387829486586</v>
      </c>
      <c r="DG6">
        <v>-0.54412428601747709</v>
      </c>
      <c r="DH6">
        <v>-0.30391114658703644</v>
      </c>
      <c r="DI6">
        <v>0.12444788600505943</v>
      </c>
      <c r="DJ6">
        <v>0.31528747303196408</v>
      </c>
      <c r="DK6">
        <v>-0.31403018859483611</v>
      </c>
      <c r="DL6">
        <v>0.91617980212406702</v>
      </c>
      <c r="DM6">
        <v>-1.6007971691538139E-2</v>
      </c>
      <c r="DN6">
        <v>0.57862678175350868</v>
      </c>
      <c r="DO6">
        <v>-0.1999127157833992</v>
      </c>
      <c r="DP6">
        <v>-0.39785694431131419</v>
      </c>
      <c r="DQ6">
        <v>1.5070396392421328</v>
      </c>
      <c r="DR6">
        <v>0.34750602846538425</v>
      </c>
      <c r="DS6">
        <v>0.99721594505237299</v>
      </c>
      <c r="DT6">
        <v>0.18057539068389369</v>
      </c>
      <c r="DU6">
        <v>0.25002515739349102</v>
      </c>
      <c r="DV6">
        <v>0.33554530907689695</v>
      </c>
      <c r="DW6">
        <v>0.44307409069427944</v>
      </c>
      <c r="DX6">
        <v>-0.16155283628041137</v>
      </c>
      <c r="DY6">
        <v>0.98992932062272398</v>
      </c>
      <c r="DZ6">
        <v>2.1040552692423926</v>
      </c>
      <c r="EA6">
        <v>1.9544714121269235</v>
      </c>
      <c r="EB6">
        <v>2.0309722228050897</v>
      </c>
      <c r="EC6">
        <v>2.2118572390801301</v>
      </c>
      <c r="ED6">
        <v>0.23773709696718645</v>
      </c>
      <c r="EE6">
        <v>-0.75467642868678231</v>
      </c>
      <c r="EF6">
        <v>-0.279102576465596</v>
      </c>
      <c r="EG6">
        <v>-0.22012824756042856</v>
      </c>
      <c r="EH6">
        <v>0.44724231028463585</v>
      </c>
      <c r="EI6">
        <v>0.79740079977084688</v>
      </c>
      <c r="EJ6">
        <v>-5.8877861535977294E-2</v>
      </c>
      <c r="EK6">
        <v>1.792575191138065</v>
      </c>
    </row>
    <row r="7" spans="1:141" x14ac:dyDescent="0.25">
      <c r="A7">
        <v>560</v>
      </c>
      <c r="B7">
        <v>-0.50220665287851385</v>
      </c>
      <c r="C7">
        <v>0.44123026641094903</v>
      </c>
      <c r="D7">
        <v>-1.1994496861229347</v>
      </c>
      <c r="E7">
        <v>-1.2829088574066525</v>
      </c>
      <c r="F7">
        <v>-0.30614686320367185</v>
      </c>
      <c r="G7">
        <v>0.18328012703831623</v>
      </c>
      <c r="H7">
        <v>-2.1883544358718154E-2</v>
      </c>
      <c r="I7">
        <v>0.12117112240917312</v>
      </c>
      <c r="J7">
        <v>-0.64881590216938179</v>
      </c>
      <c r="K7">
        <v>-0.27704179053928174</v>
      </c>
      <c r="L7">
        <v>-6.4116706639056137E-2</v>
      </c>
      <c r="M7">
        <v>5.1574518442829157E-3</v>
      </c>
      <c r="N7">
        <v>8.7072802236023122E-2</v>
      </c>
      <c r="O7">
        <v>-0.49510988708097681</v>
      </c>
      <c r="P7">
        <v>-0.77920275964390751</v>
      </c>
      <c r="Q7">
        <v>-0.78370986024210265</v>
      </c>
      <c r="R7">
        <v>-6.9270797338817164E-2</v>
      </c>
      <c r="S7">
        <v>-0.26678513777997276</v>
      </c>
      <c r="T7">
        <v>-0.33874234860582725</v>
      </c>
      <c r="U7">
        <v>-0.3297632860959096</v>
      </c>
      <c r="V7">
        <v>-0.32149265854460518</v>
      </c>
      <c r="W7">
        <v>-0.35232561477265445</v>
      </c>
      <c r="X7">
        <v>-0.40075045551304034</v>
      </c>
      <c r="Y7">
        <v>-0.17447674464842119</v>
      </c>
      <c r="Z7">
        <v>-0.2260851949711393</v>
      </c>
      <c r="AA7">
        <v>0.67080333476119636</v>
      </c>
      <c r="AB7">
        <v>-0.14777788479690701</v>
      </c>
      <c r="AC7">
        <v>-0.45915919319903892</v>
      </c>
      <c r="AD7">
        <v>-0.49682237507239285</v>
      </c>
      <c r="AE7">
        <v>-0.61462852970476545</v>
      </c>
      <c r="AF7">
        <v>-0.6507799265900166</v>
      </c>
      <c r="AG7">
        <v>-0.56313586124360848</v>
      </c>
      <c r="AH7">
        <v>-0.1361516221470386</v>
      </c>
      <c r="AI7">
        <v>-0.1898000816160835</v>
      </c>
      <c r="AJ7">
        <v>-0.54522258639470567</v>
      </c>
      <c r="AK7">
        <v>-1.2003438426177846</v>
      </c>
      <c r="AL7">
        <v>1.0040041835973761</v>
      </c>
      <c r="AM7">
        <v>-0.98991035974568775</v>
      </c>
      <c r="AN7">
        <v>0.96819383021963779</v>
      </c>
      <c r="AO7">
        <v>0.3066206305118141</v>
      </c>
      <c r="AP7">
        <v>1.3867396432699908</v>
      </c>
      <c r="AQ7">
        <v>1.2428315917044157</v>
      </c>
      <c r="AR7">
        <v>0.7971468693820063</v>
      </c>
      <c r="AS7">
        <v>-0.19424575610992906</v>
      </c>
      <c r="AT7">
        <v>-0.13394064501226668</v>
      </c>
      <c r="AU7">
        <v>-0.62804691579152916</v>
      </c>
      <c r="AV7">
        <v>-0.18032516739601154</v>
      </c>
      <c r="AW7">
        <v>-0.38128463723804334</v>
      </c>
      <c r="AX7">
        <v>-0.21261679296896924</v>
      </c>
      <c r="AY7">
        <v>-0.59018292878904677</v>
      </c>
      <c r="AZ7">
        <v>-0.48581498807305745</v>
      </c>
      <c r="BA7">
        <v>-0.17995709210341077</v>
      </c>
      <c r="BB7">
        <v>-2.3795756407343414E-2</v>
      </c>
      <c r="BC7">
        <v>-0.67316487175568263</v>
      </c>
      <c r="BD7">
        <v>-0.68340913736163877</v>
      </c>
      <c r="BE7">
        <v>0.17860779844589222</v>
      </c>
      <c r="BF7">
        <v>0.1829966229359585</v>
      </c>
      <c r="BG7">
        <v>0.20297199686048295</v>
      </c>
      <c r="BH7">
        <v>-0.55180114906924893</v>
      </c>
      <c r="BI7">
        <v>0.49745616513836161</v>
      </c>
      <c r="BJ7">
        <v>1.0469796797065891E-2</v>
      </c>
      <c r="BK7">
        <v>-6.7844660227944664E-2</v>
      </c>
      <c r="BL7">
        <v>-0.14311337957813616</v>
      </c>
      <c r="BM7">
        <v>-0.20701137774292694</v>
      </c>
      <c r="BN7">
        <v>5.3210310568190158E-2</v>
      </c>
      <c r="BO7">
        <v>-0.10206931090741989</v>
      </c>
      <c r="BP7">
        <v>-0.12674080428495785</v>
      </c>
      <c r="BQ7">
        <v>-9.6070818502455135E-2</v>
      </c>
      <c r="BR7">
        <v>0.80103305104685874</v>
      </c>
      <c r="BS7">
        <v>-0.13765582210095015</v>
      </c>
      <c r="BT7">
        <v>-6.1018440134399485E-2</v>
      </c>
      <c r="BU7">
        <v>-8.0602501806987692E-2</v>
      </c>
      <c r="BV7">
        <v>1.3975302966464056</v>
      </c>
      <c r="BW7">
        <v>0.41052670168805527</v>
      </c>
      <c r="BX7">
        <v>-0.9179648636084653</v>
      </c>
      <c r="BY7">
        <v>-0.12894957750600369</v>
      </c>
      <c r="BZ7">
        <v>-0.8189824908157961</v>
      </c>
      <c r="CA7">
        <v>0.18077001446831492</v>
      </c>
      <c r="CB7">
        <v>-0.41609887803973133</v>
      </c>
      <c r="CC7">
        <v>-0.83828030760215977</v>
      </c>
      <c r="CD7">
        <v>-9.4014418399738495E-2</v>
      </c>
      <c r="CE7">
        <v>0.19910292196556384</v>
      </c>
      <c r="CF7">
        <v>-0.83665773956093747</v>
      </c>
      <c r="CG7">
        <v>-0.74852239664274589</v>
      </c>
      <c r="CH7">
        <v>-1.4539947518134257</v>
      </c>
      <c r="CI7">
        <v>-0.3177959331236378</v>
      </c>
      <c r="CJ7">
        <v>1.5775126343478658</v>
      </c>
      <c r="CK7">
        <v>0.34587854643062488</v>
      </c>
      <c r="CL7">
        <v>-0.22248019448902576</v>
      </c>
      <c r="CM7">
        <v>1.2554336358101181</v>
      </c>
      <c r="CN7">
        <v>-0.21212999520143827</v>
      </c>
      <c r="CO7">
        <v>-6.6153310409090603E-3</v>
      </c>
      <c r="CP7">
        <v>0.57167120782755076</v>
      </c>
      <c r="CQ7">
        <v>-0.2199219784592685</v>
      </c>
      <c r="CR7">
        <v>-0.44558533288095198</v>
      </c>
      <c r="CS7">
        <v>-0.26681908303724045</v>
      </c>
      <c r="CT7">
        <v>-0.49194154952771735</v>
      </c>
      <c r="CU7">
        <v>-4.6748589865031427E-3</v>
      </c>
      <c r="CV7">
        <v>1.2828665956422878</v>
      </c>
      <c r="CW7">
        <v>1.4170685303230826</v>
      </c>
      <c r="CX7">
        <v>-7.422489789130822E-2</v>
      </c>
      <c r="CY7">
        <v>-0.672452392072585</v>
      </c>
      <c r="CZ7">
        <v>-0.43731639079111878</v>
      </c>
      <c r="DA7">
        <v>-0.15942866550397547</v>
      </c>
      <c r="DB7">
        <v>-0.8916179253004165</v>
      </c>
      <c r="DC7">
        <v>-0.79042110314878211</v>
      </c>
      <c r="DD7">
        <v>-0.55895918474349826</v>
      </c>
      <c r="DE7">
        <v>-0.3929940255804184</v>
      </c>
      <c r="DF7">
        <v>0.50697081772788555</v>
      </c>
      <c r="DG7">
        <v>-0.60545261261021577</v>
      </c>
      <c r="DH7">
        <v>-0.56929629728233155</v>
      </c>
      <c r="DI7">
        <v>-0.35955679442407734</v>
      </c>
      <c r="DJ7">
        <v>-0.14577004002501906</v>
      </c>
      <c r="DK7">
        <v>-0.33037406610574571</v>
      </c>
      <c r="DL7">
        <v>0.28361637047242289</v>
      </c>
      <c r="DM7">
        <v>-0.53559506773348087</v>
      </c>
      <c r="DN7">
        <v>1.0695662647257831</v>
      </c>
      <c r="DO7">
        <v>-0.49763032366607168</v>
      </c>
      <c r="DP7">
        <v>-0.51784647832295705</v>
      </c>
      <c r="DQ7">
        <v>0.15281310479395754</v>
      </c>
      <c r="DR7">
        <v>-0.35185629006509245</v>
      </c>
      <c r="DS7">
        <v>4.0941788583947994E-2</v>
      </c>
      <c r="DT7">
        <v>-0.30597627527498028</v>
      </c>
      <c r="DU7">
        <v>-0.24999247261225435</v>
      </c>
      <c r="DV7">
        <v>-0.16831941063575026</v>
      </c>
      <c r="DW7">
        <v>-9.6495609919265479E-2</v>
      </c>
      <c r="DX7">
        <v>-0.46678968504095542</v>
      </c>
      <c r="DY7">
        <v>-0.12428382416135629</v>
      </c>
      <c r="DZ7">
        <v>1.5682734176919091</v>
      </c>
      <c r="EA7">
        <v>1.7459455355084808</v>
      </c>
      <c r="EB7">
        <v>1.3048126178961701</v>
      </c>
      <c r="EC7">
        <v>1.4958500906290451</v>
      </c>
      <c r="ED7">
        <v>-0.23310167804973991</v>
      </c>
      <c r="EE7">
        <v>0.88635912147472617</v>
      </c>
      <c r="EF7">
        <v>-0.55586940694847853</v>
      </c>
      <c r="EG7">
        <v>-0.52731318778549963</v>
      </c>
      <c r="EH7">
        <v>-0.32749806432970219</v>
      </c>
      <c r="EI7">
        <v>-7.1507989040687989E-2</v>
      </c>
      <c r="EJ7">
        <v>-0.34627847820768881</v>
      </c>
      <c r="EK7">
        <v>0.82033873863866691</v>
      </c>
    </row>
    <row r="8" spans="1:141" x14ac:dyDescent="0.25">
      <c r="A8">
        <v>620</v>
      </c>
      <c r="B8">
        <v>-1.1063829952608477</v>
      </c>
      <c r="C8">
        <v>-0.42816328944827831</v>
      </c>
      <c r="D8">
        <v>0.55108387847110185</v>
      </c>
      <c r="E8">
        <v>-2.3508138405454284</v>
      </c>
      <c r="F8">
        <v>0.2868289018312658</v>
      </c>
      <c r="G8">
        <v>-0.5106428341819077</v>
      </c>
      <c r="H8">
        <v>-0.19188978247245894</v>
      </c>
      <c r="I8">
        <v>1.7362290398903826</v>
      </c>
      <c r="J8">
        <v>-1.151411753274995</v>
      </c>
      <c r="K8">
        <v>-0.49398172323531092</v>
      </c>
      <c r="L8">
        <v>6.6759687342985236E-2</v>
      </c>
      <c r="M8">
        <v>-0.23127061604246565</v>
      </c>
      <c r="N8">
        <v>-1.0275230711655869E-2</v>
      </c>
      <c r="O8">
        <v>-0.17097188660858861</v>
      </c>
      <c r="P8">
        <v>-0.50935041879976128</v>
      </c>
      <c r="Q8">
        <v>-1.0649483110177955</v>
      </c>
      <c r="R8">
        <v>7.9205323960838875E-2</v>
      </c>
      <c r="S8">
        <v>-0.53673096655984887</v>
      </c>
      <c r="T8">
        <v>-0.74252164353743977</v>
      </c>
      <c r="U8">
        <v>-0.72776174238840519</v>
      </c>
      <c r="V8">
        <v>-0.82896500035798515</v>
      </c>
      <c r="W8">
        <v>-0.81990928545723374</v>
      </c>
      <c r="X8">
        <v>-0.78914761566043412</v>
      </c>
      <c r="Y8">
        <v>-0.44986883151708434</v>
      </c>
      <c r="Z8">
        <v>-0.3978918778688143</v>
      </c>
      <c r="AA8">
        <v>1.0917272123763906</v>
      </c>
      <c r="AB8">
        <v>-0.85432385340139183</v>
      </c>
      <c r="AC8">
        <v>-0.87369079695743845</v>
      </c>
      <c r="AD8">
        <v>-0.66691239847315165</v>
      </c>
      <c r="AE8">
        <v>-0.65838418855920466</v>
      </c>
      <c r="AF8">
        <v>-0.70878402858078937</v>
      </c>
      <c r="AG8">
        <v>-0.72109480115214208</v>
      </c>
      <c r="AH8">
        <v>-0.58745611913278761</v>
      </c>
      <c r="AI8">
        <v>-0.50857555570447166</v>
      </c>
      <c r="AJ8">
        <v>-1.0684920454651867</v>
      </c>
      <c r="AK8">
        <v>0.67662723002558045</v>
      </c>
      <c r="AL8">
        <v>1.9094545694265059</v>
      </c>
      <c r="AM8">
        <v>-0.74268277069795463</v>
      </c>
      <c r="AN8">
        <v>1.2775876196004847</v>
      </c>
      <c r="AO8">
        <v>-0.22726923039335206</v>
      </c>
      <c r="AP8">
        <v>-5.6852381095211658E-2</v>
      </c>
      <c r="AQ8">
        <v>7.4200542982257478E-2</v>
      </c>
      <c r="AR8">
        <v>1.6997492128152123</v>
      </c>
      <c r="AS8">
        <v>-0.77243311888506205</v>
      </c>
      <c r="AT8">
        <v>-0.86458705128426694</v>
      </c>
      <c r="AU8">
        <v>-0.74627761878033427</v>
      </c>
      <c r="AV8">
        <v>-0.65735839749793679</v>
      </c>
      <c r="AW8">
        <v>-0.84248840559986993</v>
      </c>
      <c r="AX8">
        <v>-0.4759939846614164</v>
      </c>
      <c r="AY8">
        <v>-1.0743211967001673</v>
      </c>
      <c r="AZ8">
        <v>-0.96069960753831418</v>
      </c>
      <c r="BA8">
        <v>-0.93057536119483641</v>
      </c>
      <c r="BB8">
        <v>-0.15353427956717711</v>
      </c>
      <c r="BC8">
        <v>-1.1392915043831271</v>
      </c>
      <c r="BD8">
        <v>-1.1117095087184532</v>
      </c>
      <c r="BE8">
        <v>-4.7240349140459575E-2</v>
      </c>
      <c r="BF8">
        <v>3.0748140605736944E-4</v>
      </c>
      <c r="BG8">
        <v>-7.6905626676749342E-2</v>
      </c>
      <c r="BH8">
        <v>-1.1351372074363766</v>
      </c>
      <c r="BI8">
        <v>-6.8646803081282024E-3</v>
      </c>
      <c r="BJ8">
        <v>-8.6104622909818379E-2</v>
      </c>
      <c r="BK8">
        <v>7.1327497866699466E-2</v>
      </c>
      <c r="BL8">
        <v>3.5007244624827689E-2</v>
      </c>
      <c r="BM8">
        <v>-0.40036878327959596</v>
      </c>
      <c r="BN8">
        <v>-5.8145327918606105E-2</v>
      </c>
      <c r="BO8">
        <v>-0.10666367383154989</v>
      </c>
      <c r="BP8">
        <v>-0.32017233483836627</v>
      </c>
      <c r="BQ8">
        <v>-0.22704958415870571</v>
      </c>
      <c r="BR8">
        <v>5.0205102210159898E-2</v>
      </c>
      <c r="BS8">
        <v>-0.17094562276091474</v>
      </c>
      <c r="BT8">
        <v>-8.9401486766696833E-2</v>
      </c>
      <c r="BU8">
        <v>-0.10281373157930515</v>
      </c>
      <c r="BV8">
        <v>0.38802412879553055</v>
      </c>
      <c r="BW8">
        <v>-1.6269033577933391E-3</v>
      </c>
      <c r="BX8">
        <v>-1.1040574720986052</v>
      </c>
      <c r="BY8">
        <v>-0.59348052571247101</v>
      </c>
      <c r="BZ8">
        <v>-0.84125653530379152</v>
      </c>
      <c r="CA8">
        <v>-0.91702789006162644</v>
      </c>
      <c r="CB8">
        <v>-0.47171891022210416</v>
      </c>
      <c r="CC8">
        <v>-1.1720335138666294</v>
      </c>
      <c r="CD8">
        <v>-0.60759252992626955</v>
      </c>
      <c r="CE8">
        <v>-0.52069796900948562</v>
      </c>
      <c r="CF8">
        <v>-0.93030758839369998</v>
      </c>
      <c r="CG8">
        <v>-0.31786813390896307</v>
      </c>
      <c r="CH8">
        <v>-1.6239145848857837</v>
      </c>
      <c r="CI8">
        <v>-0.95269119699337346</v>
      </c>
      <c r="CJ8">
        <v>0.32062694054056839</v>
      </c>
      <c r="CK8">
        <v>-0.27143697272616379</v>
      </c>
      <c r="CL8">
        <v>-0.6846197946526914</v>
      </c>
      <c r="CM8">
        <v>1.4573246082449736</v>
      </c>
      <c r="CN8">
        <v>-0.77946445023784139</v>
      </c>
      <c r="CO8">
        <v>-0.65082024037975517</v>
      </c>
      <c r="CP8">
        <v>-0.1112325462603953</v>
      </c>
      <c r="CQ8">
        <v>-0.55671965718320826</v>
      </c>
      <c r="CR8">
        <v>-0.84113748069094851</v>
      </c>
      <c r="CS8">
        <v>-0.32623621318456564</v>
      </c>
      <c r="CT8">
        <v>-0.74542643627958016</v>
      </c>
      <c r="CU8">
        <v>-0.75577394508389673</v>
      </c>
      <c r="CV8">
        <v>1.3290739952348174</v>
      </c>
      <c r="CW8">
        <v>1.3652524163480326</v>
      </c>
      <c r="CX8">
        <v>-0.61162086156959516</v>
      </c>
      <c r="CY8">
        <v>-0.90098994183024672</v>
      </c>
      <c r="CZ8">
        <v>-0.58149257459302162</v>
      </c>
      <c r="DA8">
        <v>-0.81964924461199595</v>
      </c>
      <c r="DB8">
        <v>-6.5462769601048701E-2</v>
      </c>
      <c r="DC8">
        <v>-0.6264888318066929</v>
      </c>
      <c r="DD8">
        <v>-0.9461225741499435</v>
      </c>
      <c r="DE8">
        <v>-0.92215132202101224</v>
      </c>
      <c r="DF8">
        <v>-0.78357367401308331</v>
      </c>
      <c r="DG8">
        <v>-0.66087707359982362</v>
      </c>
      <c r="DH8">
        <v>-0.67245735465244938</v>
      </c>
      <c r="DI8">
        <v>-0.74051578703802889</v>
      </c>
      <c r="DJ8">
        <v>-0.62847590211536308</v>
      </c>
      <c r="DK8">
        <v>-0.38987106637250168</v>
      </c>
      <c r="DL8">
        <v>-0.57438390466706357</v>
      </c>
      <c r="DM8">
        <v>-1.3433643692583055</v>
      </c>
      <c r="DN8">
        <v>0.40887180323489308</v>
      </c>
      <c r="DO8">
        <v>-0.84946842411589052</v>
      </c>
      <c r="DP8">
        <v>-0.63575228913931925</v>
      </c>
      <c r="DQ8">
        <v>-0.51343703579861322</v>
      </c>
      <c r="DR8">
        <v>-1.0310622361633524</v>
      </c>
      <c r="DS8">
        <v>-0.88332575392634372</v>
      </c>
      <c r="DT8">
        <v>-0.71977541172898563</v>
      </c>
      <c r="DU8">
        <v>-0.69664949749105065</v>
      </c>
      <c r="DV8">
        <v>-0.63889624515881005</v>
      </c>
      <c r="DW8">
        <v>-0.64589443368659938</v>
      </c>
      <c r="DX8">
        <v>-0.72384035843996564</v>
      </c>
      <c r="DY8">
        <v>-1.0658693471834362</v>
      </c>
      <c r="DZ8">
        <v>-0.24597425648764343</v>
      </c>
      <c r="EA8">
        <v>0.16064862407823821</v>
      </c>
      <c r="EB8">
        <v>-0.49944034995675823</v>
      </c>
      <c r="EC8">
        <v>-0.2467062769832376</v>
      </c>
      <c r="ED8">
        <v>-0.61655251600546779</v>
      </c>
      <c r="EE8">
        <v>1.2256106382061784</v>
      </c>
      <c r="EF8">
        <v>-0.76328781580524474</v>
      </c>
      <c r="EG8">
        <v>-0.73397023338017353</v>
      </c>
      <c r="EH8">
        <v>-0.92465088980102628</v>
      </c>
      <c r="EI8">
        <v>-0.85425069621662897</v>
      </c>
      <c r="EJ8">
        <v>-0.62553530825083026</v>
      </c>
      <c r="EK8">
        <v>-0.55785073038738142</v>
      </c>
    </row>
    <row r="9" spans="1:141" x14ac:dyDescent="0.25">
      <c r="A9">
        <v>665</v>
      </c>
      <c r="B9">
        <v>-0.93357785223810363</v>
      </c>
      <c r="C9">
        <v>-1.1787509309293036</v>
      </c>
      <c r="D9">
        <v>2.2703623600950422</v>
      </c>
      <c r="E9">
        <v>-0.11830632718122135</v>
      </c>
      <c r="F9">
        <v>0.51025626584519113</v>
      </c>
      <c r="G9">
        <v>0.1972756194149935</v>
      </c>
      <c r="H9">
        <v>-0.2612612670961148</v>
      </c>
      <c r="I9">
        <v>1.3703693555074752</v>
      </c>
      <c r="J9">
        <v>-1.28761961870157</v>
      </c>
      <c r="K9">
        <v>-0.16177899078618227</v>
      </c>
      <c r="L9">
        <v>0.16512622062269361</v>
      </c>
      <c r="M9">
        <v>-0.41934806055635504</v>
      </c>
      <c r="N9">
        <v>-5.6008454146752838E-2</v>
      </c>
      <c r="O9">
        <v>-0.18246760908532877</v>
      </c>
      <c r="P9">
        <v>-8.0263843384342032E-2</v>
      </c>
      <c r="Q9">
        <v>-0.54406199457269366</v>
      </c>
      <c r="R9">
        <v>0.30463733545512128</v>
      </c>
      <c r="S9">
        <v>-0.76068550237066146</v>
      </c>
      <c r="T9">
        <v>-0.71337289659406955</v>
      </c>
      <c r="U9">
        <v>-0.86609741471168566</v>
      </c>
      <c r="V9">
        <v>-0.79855620978670239</v>
      </c>
      <c r="W9">
        <v>-0.81420019097816498</v>
      </c>
      <c r="X9">
        <v>-0.76931873115994276</v>
      </c>
      <c r="Y9">
        <v>-0.69485430566265793</v>
      </c>
      <c r="Z9">
        <v>-0.53217716927604031</v>
      </c>
      <c r="AA9">
        <v>-0.19542698223496993</v>
      </c>
      <c r="AB9">
        <v>-1.2476996093286554</v>
      </c>
      <c r="AC9">
        <v>-0.97651811604506078</v>
      </c>
      <c r="AD9">
        <v>-0.57548259536862212</v>
      </c>
      <c r="AE9">
        <v>-0.53345980591965281</v>
      </c>
      <c r="AF9">
        <v>-0.61093993978656669</v>
      </c>
      <c r="AG9">
        <v>-0.65862731524593643</v>
      </c>
      <c r="AH9">
        <v>-1.0853492116318064</v>
      </c>
      <c r="AI9">
        <v>-1.1041282528363427</v>
      </c>
      <c r="AJ9">
        <v>-1.0335495409145476</v>
      </c>
      <c r="AK9">
        <v>2.4879281241825435</v>
      </c>
      <c r="AL9">
        <v>8.7615181346528362E-2</v>
      </c>
      <c r="AM9">
        <v>0.54998611158280708</v>
      </c>
      <c r="AN9">
        <v>0.10018186170144162</v>
      </c>
      <c r="AO9">
        <v>-1.611114626881428E-2</v>
      </c>
      <c r="AP9">
        <v>-5.9172849763530329E-2</v>
      </c>
      <c r="AQ9">
        <v>6.56054827196208E-2</v>
      </c>
      <c r="AR9">
        <v>0.11924850608421726</v>
      </c>
      <c r="AS9">
        <v>-1.1776606644456977</v>
      </c>
      <c r="AT9">
        <v>-1.4550836541530661</v>
      </c>
      <c r="AU9">
        <v>-0.39613786390106209</v>
      </c>
      <c r="AV9">
        <v>-0.63434432922972339</v>
      </c>
      <c r="AW9">
        <v>-0.82681660948608526</v>
      </c>
      <c r="AX9">
        <v>-0.4546082438411212</v>
      </c>
      <c r="AY9">
        <v>-1.053846048018457</v>
      </c>
      <c r="AZ9">
        <v>-0.95106285646274236</v>
      </c>
      <c r="BA9">
        <v>-0.96290869815521973</v>
      </c>
      <c r="BB9">
        <v>-0.11593830309423972</v>
      </c>
      <c r="BC9">
        <v>-1.3105217467896213</v>
      </c>
      <c r="BD9">
        <v>-1.265494517753267</v>
      </c>
      <c r="BE9">
        <v>-3.9946329978614643E-2</v>
      </c>
      <c r="BF9">
        <v>-3.4720920226215111E-2</v>
      </c>
      <c r="BG9">
        <v>-5.9588620930768679E-2</v>
      </c>
      <c r="BH9">
        <v>-1.5164528813872848</v>
      </c>
      <c r="BI9">
        <v>-2.5250663182208175E-2</v>
      </c>
      <c r="BJ9">
        <v>-8.5669603598741581E-2</v>
      </c>
      <c r="BK9">
        <v>0.32596112233014951</v>
      </c>
      <c r="BL9">
        <v>0.25558315163015083</v>
      </c>
      <c r="BM9">
        <v>-0.12042473607840665</v>
      </c>
      <c r="BN9">
        <v>-7.9026008657127403E-2</v>
      </c>
      <c r="BO9">
        <v>-0.12928821483274217</v>
      </c>
      <c r="BP9">
        <v>-0.23532402488286797</v>
      </c>
      <c r="BQ9">
        <v>-0.15140640632789437</v>
      </c>
      <c r="BR9">
        <v>-4.0248839303496285E-2</v>
      </c>
      <c r="BS9">
        <v>-0.16245057447633096</v>
      </c>
      <c r="BT9">
        <v>-0.11718879220817097</v>
      </c>
      <c r="BU9">
        <v>-7.8128834955233123E-2</v>
      </c>
      <c r="BV9">
        <v>9.7136919895856724E-2</v>
      </c>
      <c r="BW9">
        <v>-4.4671073401196084E-3</v>
      </c>
      <c r="BX9">
        <v>-0.96518893529290428</v>
      </c>
      <c r="BY9">
        <v>-0.87179957002167996</v>
      </c>
      <c r="BZ9">
        <v>-0.81295226138578514</v>
      </c>
      <c r="CA9">
        <v>-1.0766395165769764</v>
      </c>
      <c r="CB9">
        <v>-0.51460717140006207</v>
      </c>
      <c r="CC9">
        <v>-1.0412918035136114</v>
      </c>
      <c r="CD9">
        <v>-0.82022396451771806</v>
      </c>
      <c r="CE9">
        <v>-0.89677163771087942</v>
      </c>
      <c r="CF9">
        <v>-0.50679596237984248</v>
      </c>
      <c r="CG9">
        <v>4.0072984998946404E-2</v>
      </c>
      <c r="CH9">
        <v>-0.24985591912379113</v>
      </c>
      <c r="CI9">
        <v>-0.97190561174794932</v>
      </c>
      <c r="CJ9">
        <v>-0.80027216280065971</v>
      </c>
      <c r="CK9">
        <v>-0.70642160512793672</v>
      </c>
      <c r="CL9">
        <v>-0.93913866654178757</v>
      </c>
      <c r="CM9">
        <v>6.4456586756680895E-2</v>
      </c>
      <c r="CN9">
        <v>-0.96126841889454184</v>
      </c>
      <c r="CO9">
        <v>-0.99578443002162642</v>
      </c>
      <c r="CP9">
        <v>-1.0300487594261025</v>
      </c>
      <c r="CQ9">
        <v>-0.80168540062281324</v>
      </c>
      <c r="CR9">
        <v>-0.93383112540993696</v>
      </c>
      <c r="CS9">
        <v>-0.36106380200254756</v>
      </c>
      <c r="CT9">
        <v>-0.81971658728207553</v>
      </c>
      <c r="CU9">
        <v>-1.0416982548109088</v>
      </c>
      <c r="CV9">
        <v>0.42825123234295459</v>
      </c>
      <c r="CW9">
        <v>8.9506277121485123E-2</v>
      </c>
      <c r="CX9">
        <v>-0.81310773432625294</v>
      </c>
      <c r="CY9">
        <v>-0.71920046274314475</v>
      </c>
      <c r="CZ9">
        <v>-0.83088894982236505</v>
      </c>
      <c r="DA9">
        <v>-0.80473300146528659</v>
      </c>
      <c r="DB9">
        <v>0.60260090634310481</v>
      </c>
      <c r="DC9">
        <v>-0.49644386694409293</v>
      </c>
      <c r="DD9">
        <v>-0.88982284895436869</v>
      </c>
      <c r="DE9">
        <v>-0.92848875427026345</v>
      </c>
      <c r="DF9">
        <v>-1.1024893843746508</v>
      </c>
      <c r="DG9">
        <v>-0.7147208117911642</v>
      </c>
      <c r="DH9">
        <v>-0.68477352139363357</v>
      </c>
      <c r="DI9">
        <v>-0.81322221464533939</v>
      </c>
      <c r="DJ9">
        <v>-0.89205668993151277</v>
      </c>
      <c r="DK9">
        <v>-0.58872327020606507</v>
      </c>
      <c r="DL9">
        <v>-1.0290867328326814</v>
      </c>
      <c r="DM9">
        <v>-0.99592552201129902</v>
      </c>
      <c r="DN9">
        <v>-0.73529499058096459</v>
      </c>
      <c r="DO9">
        <v>-1.005716611369798</v>
      </c>
      <c r="DP9">
        <v>-0.6977499185892635</v>
      </c>
      <c r="DQ9">
        <v>-0.80088611235367313</v>
      </c>
      <c r="DR9">
        <v>-0.97966397888005252</v>
      </c>
      <c r="DS9">
        <v>-1.1355322362010103</v>
      </c>
      <c r="DT9">
        <v>-0.93114936718443408</v>
      </c>
      <c r="DU9">
        <v>-0.94603402886032839</v>
      </c>
      <c r="DV9">
        <v>-0.95132865139090383</v>
      </c>
      <c r="DW9">
        <v>-1.0216703981395943</v>
      </c>
      <c r="DX9">
        <v>-0.88664064356260508</v>
      </c>
      <c r="DY9">
        <v>-1.2006525947885021</v>
      </c>
      <c r="DZ9">
        <v>-1.0679710959050295</v>
      </c>
      <c r="EA9">
        <v>-0.8635602605818723</v>
      </c>
      <c r="EB9">
        <v>-1.3044582656706154</v>
      </c>
      <c r="EC9">
        <v>-1.1315849597879664</v>
      </c>
      <c r="ED9">
        <v>-0.82245010656595452</v>
      </c>
      <c r="EE9">
        <v>4.3858132600786866E-2</v>
      </c>
      <c r="EF9">
        <v>-0.76412696726716145</v>
      </c>
      <c r="EG9">
        <v>-0.73009609145421295</v>
      </c>
      <c r="EH9">
        <v>-1.0252518255388126</v>
      </c>
      <c r="EI9">
        <v>-1.040095734321429</v>
      </c>
      <c r="EJ9">
        <v>-0.76691764074882773</v>
      </c>
      <c r="EK9">
        <v>-1.0909111284313988</v>
      </c>
    </row>
    <row r="10" spans="1:141" x14ac:dyDescent="0.25">
      <c r="A10">
        <v>673.5</v>
      </c>
      <c r="B10">
        <v>-0.94516522901305799</v>
      </c>
      <c r="C10">
        <v>-1.3250028814256243</v>
      </c>
      <c r="D10">
        <v>0.72752619886961978</v>
      </c>
      <c r="E10">
        <v>0.11693017971168983</v>
      </c>
      <c r="F10">
        <v>2.7497453151606974</v>
      </c>
      <c r="G10">
        <v>-0.40698691497636608</v>
      </c>
      <c r="H10">
        <v>-0.27002660708658127</v>
      </c>
      <c r="I10">
        <v>0.15898725257879193</v>
      </c>
      <c r="J10">
        <v>1.4482116739583841</v>
      </c>
      <c r="K10">
        <v>1.7065410025325531</v>
      </c>
      <c r="L10">
        <v>2.3862262327391859E-2</v>
      </c>
      <c r="M10">
        <v>-0.54522551928817786</v>
      </c>
      <c r="N10">
        <v>-1.5946647137710851E-2</v>
      </c>
      <c r="O10">
        <v>-0.90065320014511019</v>
      </c>
      <c r="P10">
        <v>-0.83752233484000638</v>
      </c>
      <c r="Q10">
        <v>2.2834942077290528</v>
      </c>
      <c r="R10">
        <v>0.34642270889799875</v>
      </c>
      <c r="S10">
        <v>-0.67353959089475768</v>
      </c>
      <c r="T10">
        <v>-0.38227333762883919</v>
      </c>
      <c r="U10">
        <v>-0.55973635272153099</v>
      </c>
      <c r="V10">
        <v>-0.42793943142674223</v>
      </c>
      <c r="W10">
        <v>-0.51420311321545331</v>
      </c>
      <c r="X10">
        <v>-0.33528154603802252</v>
      </c>
      <c r="Y10">
        <v>-0.32221054452974479</v>
      </c>
      <c r="Z10">
        <v>-0.30690174464502012</v>
      </c>
      <c r="AA10">
        <v>-1.6522317634840524</v>
      </c>
      <c r="AB10">
        <v>-0.34350504585626118</v>
      </c>
      <c r="AC10">
        <v>-0.7500129215249236</v>
      </c>
      <c r="AD10">
        <v>-0.81034671148762416</v>
      </c>
      <c r="AE10">
        <v>-0.70237703101920801</v>
      </c>
      <c r="AF10">
        <v>-0.69214701680042123</v>
      </c>
      <c r="AG10">
        <v>-0.7416682734918566</v>
      </c>
      <c r="AH10">
        <v>-1.4067562782741501</v>
      </c>
      <c r="AI10">
        <v>-1.2494190656359212</v>
      </c>
      <c r="AJ10">
        <v>2.2606882225504128</v>
      </c>
      <c r="AK10">
        <v>0.12957101428365192</v>
      </c>
      <c r="AL10">
        <v>8.7615181346528362E-2</v>
      </c>
      <c r="AM10">
        <v>2.682027427734285</v>
      </c>
      <c r="AN10">
        <v>0.37386812354598964</v>
      </c>
      <c r="AO10">
        <v>0.84081280712403528</v>
      </c>
      <c r="AP10">
        <v>-5.9172849763530329E-2</v>
      </c>
      <c r="AQ10">
        <v>5.6890946336666352E-2</v>
      </c>
      <c r="AR10">
        <v>-3.0116363901963324E-2</v>
      </c>
      <c r="AS10">
        <v>-1.0207259594848372</v>
      </c>
      <c r="AT10">
        <v>-0.64136801223446671</v>
      </c>
      <c r="AU10">
        <v>-1.135447852600171</v>
      </c>
      <c r="AV10">
        <v>1.1182473833436026</v>
      </c>
      <c r="AW10">
        <v>1.1615535519608009</v>
      </c>
      <c r="AX10">
        <v>0.74316233607386317</v>
      </c>
      <c r="AY10">
        <v>1.862205936849803</v>
      </c>
      <c r="AZ10">
        <v>1.6427161922895792</v>
      </c>
      <c r="BA10">
        <v>1.4524855640638299</v>
      </c>
      <c r="BB10">
        <v>-7.7058419499801217E-2</v>
      </c>
      <c r="BC10">
        <v>0.64632113226028132</v>
      </c>
      <c r="BD10">
        <v>0.52805984495242952</v>
      </c>
      <c r="BE10">
        <v>-3.5643560697902782E-2</v>
      </c>
      <c r="BF10">
        <v>1.2714416194453062E-2</v>
      </c>
      <c r="BG10">
        <v>-4.7112961393276739E-2</v>
      </c>
      <c r="BH10">
        <v>0.87131035725178585</v>
      </c>
      <c r="BI10">
        <v>-4.4565346603459198E-2</v>
      </c>
      <c r="BJ10">
        <v>-7.2087255715294812E-2</v>
      </c>
      <c r="BK10">
        <v>0.41433498536043184</v>
      </c>
      <c r="BL10">
        <v>6.3056690600322559E-3</v>
      </c>
      <c r="BM10">
        <v>1.6986565023092888</v>
      </c>
      <c r="BN10">
        <v>-7.7539561100557181E-2</v>
      </c>
      <c r="BO10">
        <v>-0.10173359237053761</v>
      </c>
      <c r="BP10">
        <v>0.93819210007533371</v>
      </c>
      <c r="BQ10">
        <v>0.88475601172870721</v>
      </c>
      <c r="BR10">
        <v>-6.4584271903432786E-2</v>
      </c>
      <c r="BS10">
        <v>-0.10569699144847876</v>
      </c>
      <c r="BT10">
        <v>-0.15368755714946172</v>
      </c>
      <c r="BU10">
        <v>-9.5964143910008848E-2</v>
      </c>
      <c r="BV10">
        <v>8.6053283056479635E-2</v>
      </c>
      <c r="BW10">
        <v>-4.8963896530987653E-3</v>
      </c>
      <c r="BX10">
        <v>-0.6183455188113316</v>
      </c>
      <c r="BY10">
        <v>-0.95967306748647696</v>
      </c>
      <c r="BZ10">
        <v>-0.18457336789532702</v>
      </c>
      <c r="CA10">
        <v>-0.98587276742491881</v>
      </c>
      <c r="CB10">
        <v>-0.48156150241372736</v>
      </c>
      <c r="CC10">
        <v>-0.86605718651771235</v>
      </c>
      <c r="CD10">
        <v>-0.80927300567828953</v>
      </c>
      <c r="CE10">
        <v>-1.0616630278139856</v>
      </c>
      <c r="CF10">
        <v>-0.6929988488152059</v>
      </c>
      <c r="CG10">
        <v>-0.48975386237971497</v>
      </c>
      <c r="CH10">
        <v>0.81771196832101711</v>
      </c>
      <c r="CI10">
        <v>-0.9783569920238534</v>
      </c>
      <c r="CJ10">
        <v>-3.7026004101237166E-2</v>
      </c>
      <c r="CK10">
        <v>-1.0403444175120806</v>
      </c>
      <c r="CL10">
        <v>-0.75911802238629633</v>
      </c>
      <c r="CM10">
        <v>0.47252388550467883</v>
      </c>
      <c r="CN10">
        <v>-0.8633461292362774</v>
      </c>
      <c r="CO10">
        <v>-1.0404197951028566</v>
      </c>
      <c r="CP10">
        <v>-1.0728804542599149</v>
      </c>
      <c r="CQ10">
        <v>-0.87510195258888945</v>
      </c>
      <c r="CR10">
        <v>-0.84868780345116068</v>
      </c>
      <c r="CS10">
        <v>-0.34115232617906122</v>
      </c>
      <c r="CT10">
        <v>-0.8809193765374882</v>
      </c>
      <c r="CU10">
        <v>-1.2467247614086212</v>
      </c>
      <c r="CV10">
        <v>0.22942145510246817</v>
      </c>
      <c r="CW10">
        <v>0.19108221394474131</v>
      </c>
      <c r="CX10">
        <v>-0.88397866960118854</v>
      </c>
      <c r="CY10">
        <v>-0.79789763817726655</v>
      </c>
      <c r="CZ10">
        <v>-0.96881582307241176</v>
      </c>
      <c r="DA10">
        <v>-0.78078901365602349</v>
      </c>
      <c r="DB10">
        <v>1.0492978218634783</v>
      </c>
      <c r="DC10">
        <v>-0.54400809439805375</v>
      </c>
      <c r="DD10">
        <v>-0.81298271666954824</v>
      </c>
      <c r="DE10">
        <v>-0.84812372270150538</v>
      </c>
      <c r="DF10">
        <v>-1.0499292495069943</v>
      </c>
      <c r="DG10">
        <v>-0.7213926198406676</v>
      </c>
      <c r="DH10">
        <v>-0.65690814135595943</v>
      </c>
      <c r="DI10">
        <v>-0.8635846484527111</v>
      </c>
      <c r="DJ10">
        <v>-1.2696055948140357</v>
      </c>
      <c r="DK10">
        <v>-0.82280256758483594</v>
      </c>
      <c r="DL10">
        <v>-1.0529496306800139</v>
      </c>
      <c r="DM10">
        <v>-6.6418942047208274E-2</v>
      </c>
      <c r="DN10">
        <v>-0.86255207354167562</v>
      </c>
      <c r="DO10">
        <v>-0.82574284120442443</v>
      </c>
      <c r="DP10">
        <v>-0.75638097399335047</v>
      </c>
      <c r="DQ10">
        <v>-0.99555124494753899</v>
      </c>
      <c r="DR10">
        <v>-0.62184310018215427</v>
      </c>
      <c r="DS10">
        <v>-1.0532253507377989</v>
      </c>
      <c r="DT10">
        <v>-1.0471700847005778</v>
      </c>
      <c r="DU10">
        <v>-1.0898668257284529</v>
      </c>
      <c r="DV10">
        <v>-1.153740837329905</v>
      </c>
      <c r="DW10">
        <v>-1.1354739164888366</v>
      </c>
      <c r="DX10">
        <v>-0.85038152612094753</v>
      </c>
      <c r="DY10">
        <v>-1.0264238467360085</v>
      </c>
      <c r="DZ10">
        <v>-0.34806581334062936</v>
      </c>
      <c r="EA10">
        <v>-0.32422957894789728</v>
      </c>
      <c r="EB10">
        <v>-0.54315706718095269</v>
      </c>
      <c r="EC10">
        <v>-0.79151462999523747</v>
      </c>
      <c r="ED10">
        <v>-0.95712885378623136</v>
      </c>
      <c r="EE10">
        <v>0.59853730366678759</v>
      </c>
      <c r="EF10">
        <v>-0.68446147027208615</v>
      </c>
      <c r="EG10">
        <v>-0.72691146602124956</v>
      </c>
      <c r="EH10">
        <v>-0.97849744097394487</v>
      </c>
      <c r="EI10">
        <v>-1.0439738843211321</v>
      </c>
      <c r="EJ10">
        <v>-0.79210792320076617</v>
      </c>
      <c r="EK10">
        <v>-1.0915422291318515</v>
      </c>
    </row>
    <row r="11" spans="1:141" x14ac:dyDescent="0.25">
      <c r="A11">
        <v>681.5</v>
      </c>
      <c r="B11">
        <v>-0.64269409955044621</v>
      </c>
      <c r="C11">
        <v>1.6395666133574784</v>
      </c>
      <c r="D11">
        <v>-0.34064092717094296</v>
      </c>
      <c r="E11">
        <v>0.26051080266226312</v>
      </c>
      <c r="F11">
        <v>-0.68058486972256615</v>
      </c>
      <c r="G11">
        <v>-0.25072546605727186</v>
      </c>
      <c r="H11">
        <v>-0.26067000236781879</v>
      </c>
      <c r="I11">
        <v>-1.3322249096417707E-2</v>
      </c>
      <c r="J11">
        <v>1.3071350592812705</v>
      </c>
      <c r="K11">
        <v>0.32438003769474016</v>
      </c>
      <c r="L11">
        <v>2.306448717781975E-2</v>
      </c>
      <c r="M11">
        <v>-1.3973876233603431</v>
      </c>
      <c r="N11">
        <v>-1.6016221644616802</v>
      </c>
      <c r="O11">
        <v>-0.9485462243305236</v>
      </c>
      <c r="P11">
        <v>-0.8329228607883854</v>
      </c>
      <c r="Q11">
        <v>3.5061985117085095E-2</v>
      </c>
      <c r="R11">
        <v>5.0973735789557051E-2</v>
      </c>
      <c r="S11">
        <v>1.6688396283428433</v>
      </c>
      <c r="T11">
        <v>1.650062798001523</v>
      </c>
      <c r="U11">
        <v>1.6385242203024726</v>
      </c>
      <c r="V11">
        <v>1.6183205427894756</v>
      </c>
      <c r="W11">
        <v>1.6304689370028556</v>
      </c>
      <c r="X11">
        <v>1.6675283575168636</v>
      </c>
      <c r="Y11">
        <v>1.6958911126637335</v>
      </c>
      <c r="Z11">
        <v>1.6656823233105738</v>
      </c>
      <c r="AA11">
        <v>1.0167855085581778</v>
      </c>
      <c r="AB11">
        <v>1.5971390319648395</v>
      </c>
      <c r="AC11">
        <v>1.5643073390311171</v>
      </c>
      <c r="AD11">
        <v>1.6261437106259435</v>
      </c>
      <c r="AE11">
        <v>1.642402364548893</v>
      </c>
      <c r="AF11">
        <v>1.6286341730257927</v>
      </c>
      <c r="AG11">
        <v>1.6252463326893063</v>
      </c>
      <c r="AH11">
        <v>1.2899700567044257</v>
      </c>
      <c r="AI11">
        <v>1.288313101332623</v>
      </c>
      <c r="AJ11">
        <v>0.74558137261346291</v>
      </c>
      <c r="AK11">
        <v>-9.7616484209765583E-2</v>
      </c>
      <c r="AL11">
        <v>8.7615181346528362E-2</v>
      </c>
      <c r="AM11">
        <v>0.33659758777675547</v>
      </c>
      <c r="AN11">
        <v>0.42848502388589244</v>
      </c>
      <c r="AO11">
        <v>0.17089158171918548</v>
      </c>
      <c r="AP11">
        <v>-5.9172849763530329E-2</v>
      </c>
      <c r="AQ11">
        <v>0.11388561186388899</v>
      </c>
      <c r="AR11">
        <v>-3.0116363901963324E-2</v>
      </c>
      <c r="AS11">
        <v>1.3896812039666286</v>
      </c>
      <c r="AT11">
        <v>1.4192742928944455</v>
      </c>
      <c r="AU11">
        <v>1.3670958584056316</v>
      </c>
      <c r="AV11">
        <v>0.54308871342633125</v>
      </c>
      <c r="AW11">
        <v>0.62316811612099232</v>
      </c>
      <c r="AX11">
        <v>0.33069127775560131</v>
      </c>
      <c r="AY11">
        <v>0.80890023186307614</v>
      </c>
      <c r="AZ11">
        <v>0.69364979070178545</v>
      </c>
      <c r="BA11">
        <v>0.87075760225634113</v>
      </c>
      <c r="BB11">
        <v>-6.6316200301576339E-2</v>
      </c>
      <c r="BC11">
        <v>0.35276345336980985</v>
      </c>
      <c r="BD11">
        <v>0.39938559430247217</v>
      </c>
      <c r="BE11">
        <v>-6.0210908027307801E-3</v>
      </c>
      <c r="BF11">
        <v>-2.2868992428165803E-2</v>
      </c>
      <c r="BG11">
        <v>-5.3966325455235831E-2</v>
      </c>
      <c r="BH11">
        <v>1.5127158233772882</v>
      </c>
      <c r="BI11">
        <v>-5.559891400699872E-2</v>
      </c>
      <c r="BJ11">
        <v>-8.5137669207198535E-2</v>
      </c>
      <c r="BK11">
        <v>2.839046950483827E-2</v>
      </c>
      <c r="BL11">
        <v>-3.8103652349203147E-2</v>
      </c>
      <c r="BM11">
        <v>0.289505310902956</v>
      </c>
      <c r="BN11">
        <v>2.565032634231381E-2</v>
      </c>
      <c r="BO11">
        <v>-6.2703332789463953E-2</v>
      </c>
      <c r="BP11">
        <v>2.9118655674438228E-2</v>
      </c>
      <c r="BQ11">
        <v>0.10031129312144189</v>
      </c>
      <c r="BR11">
        <v>2.3999708983732438E-3</v>
      </c>
      <c r="BS11">
        <v>-0.21250244214679043</v>
      </c>
      <c r="BT11">
        <v>-5.8815190909516271E-2</v>
      </c>
      <c r="BU11">
        <v>-0.17118312876682162</v>
      </c>
      <c r="BV11">
        <v>9.2230212882993934E-2</v>
      </c>
      <c r="BW11">
        <v>-4.834192413107505E-3</v>
      </c>
      <c r="BX11">
        <v>-0.50296782588465005</v>
      </c>
      <c r="BY11">
        <v>-1.0118575329169417</v>
      </c>
      <c r="BZ11">
        <v>-6.5118236766175508E-2</v>
      </c>
      <c r="CA11">
        <v>-1.0115966429263281</v>
      </c>
      <c r="CB11">
        <v>-0.52965489802274468</v>
      </c>
      <c r="CC11">
        <v>-0.4410530176180083</v>
      </c>
      <c r="CD11">
        <v>-1.0090129531048526</v>
      </c>
      <c r="CE11">
        <v>-1.1451606908656196</v>
      </c>
      <c r="CF11">
        <v>-0.51296060612074912</v>
      </c>
      <c r="CG11">
        <v>-1.0283291283215197</v>
      </c>
      <c r="CH11">
        <v>0.32300800399537605</v>
      </c>
      <c r="CI11">
        <v>-0.92427304876451244</v>
      </c>
      <c r="CJ11">
        <v>0.58124690262398782</v>
      </c>
      <c r="CK11">
        <v>-1.3440022170624133</v>
      </c>
      <c r="CL11">
        <v>-0.92956647936937919</v>
      </c>
      <c r="CM11">
        <v>0.74888174888772463</v>
      </c>
      <c r="CN11">
        <v>-0.89035707822425636</v>
      </c>
      <c r="CO11">
        <v>-1.0631230372284766</v>
      </c>
      <c r="CP11">
        <v>-1.114918986363429</v>
      </c>
      <c r="CQ11">
        <v>-0.94194331917119478</v>
      </c>
      <c r="CR11">
        <v>-0.86202753939140875</v>
      </c>
      <c r="CS11">
        <v>-0.40238402862215294</v>
      </c>
      <c r="CT11">
        <v>-0.85915453698867217</v>
      </c>
      <c r="CU11">
        <v>-0.96948997231498646</v>
      </c>
      <c r="CV11">
        <v>-0.14504878203419355</v>
      </c>
      <c r="CW11">
        <v>0.67115919469022334</v>
      </c>
      <c r="CX11">
        <v>-0.97472025795749162</v>
      </c>
      <c r="CY11">
        <v>-0.48624475556953251</v>
      </c>
      <c r="CZ11">
        <v>-0.76678450702238243</v>
      </c>
      <c r="DA11">
        <v>-0.79672985295820964</v>
      </c>
      <c r="DB11">
        <v>1.2341288416894065</v>
      </c>
      <c r="DC11">
        <v>-0.56447610897646094</v>
      </c>
      <c r="DD11">
        <v>-0.80123998728046919</v>
      </c>
      <c r="DE11">
        <v>-0.84689695909202767</v>
      </c>
      <c r="DF11">
        <v>-0.99055608299916997</v>
      </c>
      <c r="DG11">
        <v>-0.70906674591379881</v>
      </c>
      <c r="DH11">
        <v>-0.69859853152614693</v>
      </c>
      <c r="DI11">
        <v>-0.94690905861938901</v>
      </c>
      <c r="DJ11">
        <v>-0.91704371366473536</v>
      </c>
      <c r="DK11">
        <v>-0.95588287032919916</v>
      </c>
      <c r="DL11">
        <v>-1.1319100184104496</v>
      </c>
      <c r="DM11">
        <v>-7.0947670471329886E-3</v>
      </c>
      <c r="DN11">
        <v>-1.4679032481249643</v>
      </c>
      <c r="DO11">
        <v>-0.5365596998897616</v>
      </c>
      <c r="DP11">
        <v>-0.75312135848261008</v>
      </c>
      <c r="DQ11">
        <v>-1.1232638899704037</v>
      </c>
      <c r="DR11">
        <v>-0.79681739703317822</v>
      </c>
      <c r="DS11">
        <v>-0.91162492903195336</v>
      </c>
      <c r="DT11">
        <v>-0.93595320228089673</v>
      </c>
      <c r="DU11">
        <v>-0.95909395888740689</v>
      </c>
      <c r="DV11">
        <v>-0.99501566226946225</v>
      </c>
      <c r="DW11">
        <v>-0.9895402433821141</v>
      </c>
      <c r="DX11">
        <v>-0.82189257184063891</v>
      </c>
      <c r="DY11">
        <v>-0.81467538758847424</v>
      </c>
      <c r="DZ11">
        <v>0.20424892840121078</v>
      </c>
      <c r="EA11">
        <v>6.1452435421094367E-2</v>
      </c>
      <c r="EB11">
        <v>0.44136565451579951</v>
      </c>
      <c r="EC11">
        <v>-0.54176733058318605</v>
      </c>
      <c r="ED11">
        <v>-1.0508022205152561</v>
      </c>
      <c r="EE11">
        <v>1.0530023450431922</v>
      </c>
      <c r="EF11">
        <v>-0.64467188536183184</v>
      </c>
      <c r="EG11">
        <v>-0.75320761708891404</v>
      </c>
      <c r="EH11">
        <v>-0.89036346425344681</v>
      </c>
      <c r="EI11">
        <v>-0.9998253546017738</v>
      </c>
      <c r="EJ11">
        <v>-0.85422566606745998</v>
      </c>
      <c r="EK11">
        <v>-1.0181360665865256</v>
      </c>
    </row>
    <row r="12" spans="1:141" x14ac:dyDescent="0.25">
      <c r="A12">
        <v>709</v>
      </c>
      <c r="B12">
        <v>-0.64688867685285767</v>
      </c>
      <c r="C12">
        <v>1.6502655071559373</v>
      </c>
      <c r="D12">
        <v>-0.28114946096157251</v>
      </c>
      <c r="E12">
        <v>0.28442426336438292</v>
      </c>
      <c r="F12">
        <v>-0.73724028040737455</v>
      </c>
      <c r="G12">
        <v>-0.2754069677310676</v>
      </c>
      <c r="H12">
        <v>-0.25716243368459485</v>
      </c>
      <c r="I12">
        <v>-2.0120155037776668E-2</v>
      </c>
      <c r="J12">
        <v>1.1217392460514779</v>
      </c>
      <c r="K12">
        <v>0.20201570849734188</v>
      </c>
      <c r="L12">
        <v>2.5723037463513683E-2</v>
      </c>
      <c r="M12">
        <v>-1.6834387891966884</v>
      </c>
      <c r="N12">
        <v>-2.0643794519858405</v>
      </c>
      <c r="O12">
        <v>-1.0316062018052081</v>
      </c>
      <c r="P12">
        <v>-0.86430313677514492</v>
      </c>
      <c r="Q12">
        <v>-0.19662172989629115</v>
      </c>
      <c r="R12">
        <v>4.5416851444314447E-2</v>
      </c>
      <c r="S12">
        <v>2.2801226092164217</v>
      </c>
      <c r="T12">
        <v>2.2184578872441993</v>
      </c>
      <c r="U12">
        <v>2.2359682513601027</v>
      </c>
      <c r="V12">
        <v>2.187166119991363</v>
      </c>
      <c r="W12">
        <v>2.21984454622259</v>
      </c>
      <c r="X12">
        <v>2.2281575074981257</v>
      </c>
      <c r="Y12">
        <v>2.2565022802718833</v>
      </c>
      <c r="Z12">
        <v>2.2731579985348929</v>
      </c>
      <c r="AA12">
        <v>1.7320081634351958</v>
      </c>
      <c r="AB12">
        <v>2.0072045361893975</v>
      </c>
      <c r="AC12">
        <v>2.157939175973965</v>
      </c>
      <c r="AD12">
        <v>2.2479237128801342</v>
      </c>
      <c r="AE12">
        <v>2.2626637751132996</v>
      </c>
      <c r="AF12">
        <v>2.2321758470678579</v>
      </c>
      <c r="AG12">
        <v>2.2385972968777144</v>
      </c>
      <c r="AH12">
        <v>1.861319895579602</v>
      </c>
      <c r="AI12">
        <v>1.7489729883337291</v>
      </c>
      <c r="AJ12">
        <v>0.33884168107045964</v>
      </c>
      <c r="AK12">
        <v>-0.11948404438112774</v>
      </c>
      <c r="AL12">
        <v>8.7615181346528362E-2</v>
      </c>
      <c r="AM12">
        <v>0.1008376880181312</v>
      </c>
      <c r="AN12">
        <v>0.48420310020728924</v>
      </c>
      <c r="AO12">
        <v>0.13053792883635834</v>
      </c>
      <c r="AP12">
        <v>-5.9172849763530329E-2</v>
      </c>
      <c r="AQ12">
        <v>0.13270902186309114</v>
      </c>
      <c r="AR12">
        <v>-3.0116363901963324E-2</v>
      </c>
      <c r="AS12">
        <v>1.9491019264711942</v>
      </c>
      <c r="AT12">
        <v>1.7471743606771815</v>
      </c>
      <c r="AU12">
        <v>1.9530138040231559</v>
      </c>
      <c r="AV12">
        <v>0.33739737058125541</v>
      </c>
      <c r="AW12">
        <v>0.4694975817820764</v>
      </c>
      <c r="AX12">
        <v>0.21341890934172833</v>
      </c>
      <c r="AY12">
        <v>0.50236077837889181</v>
      </c>
      <c r="AZ12">
        <v>0.39479989286807188</v>
      </c>
      <c r="BA12">
        <v>0.6750291494789451</v>
      </c>
      <c r="BB12">
        <v>-6.1347781958282402E-2</v>
      </c>
      <c r="BC12">
        <v>0.20669905604167499</v>
      </c>
      <c r="BD12">
        <v>0.29452585197325759</v>
      </c>
      <c r="BE12">
        <v>4.6697254145949283E-3</v>
      </c>
      <c r="BF12">
        <v>-2.331498663800435E-2</v>
      </c>
      <c r="BG12">
        <v>-5.0605061458116128E-2</v>
      </c>
      <c r="BH12">
        <v>1.5170637727549035</v>
      </c>
      <c r="BI12">
        <v>-5.6002069176294744E-2</v>
      </c>
      <c r="BJ12">
        <v>-8.6904130987282668E-2</v>
      </c>
      <c r="BK12">
        <v>2.0145200354038831E-2</v>
      </c>
      <c r="BL12">
        <v>-4.5054083724549318E-2</v>
      </c>
      <c r="BM12">
        <v>0.15574970274570729</v>
      </c>
      <c r="BN12">
        <v>6.3378088083633169E-2</v>
      </c>
      <c r="BO12">
        <v>-2.8308118171251697E-2</v>
      </c>
      <c r="BP12">
        <v>-4.19294514754774E-2</v>
      </c>
      <c r="BQ12">
        <v>1.9490557430099475E-2</v>
      </c>
      <c r="BR12">
        <v>2.5098259161109377E-2</v>
      </c>
      <c r="BS12">
        <v>-0.24601615998217705</v>
      </c>
      <c r="BT12">
        <v>-3.1236071629747685E-2</v>
      </c>
      <c r="BU12">
        <v>-0.19072203514341204</v>
      </c>
      <c r="BV12">
        <v>9.3800457659254571E-2</v>
      </c>
      <c r="BW12">
        <v>-4.999918943094016E-3</v>
      </c>
      <c r="BX12">
        <v>-0.493994740171949</v>
      </c>
      <c r="BY12">
        <v>-1.023340086452563</v>
      </c>
      <c r="BZ12">
        <v>-3.6745656619702409E-2</v>
      </c>
      <c r="CA12">
        <v>-1.0233632091963334</v>
      </c>
      <c r="CB12">
        <v>-0.5365402799414164</v>
      </c>
      <c r="CC12">
        <v>-0.32242349623211097</v>
      </c>
      <c r="CD12">
        <v>-1.062656732062379</v>
      </c>
      <c r="CE12">
        <v>-1.1744200735227117</v>
      </c>
      <c r="CF12">
        <v>-1.4867926148901159E-2</v>
      </c>
      <c r="CG12">
        <v>-1.1632758639350975</v>
      </c>
      <c r="CH12">
        <v>0.14206036623441329</v>
      </c>
      <c r="CI12">
        <v>-0.90873807871288637</v>
      </c>
      <c r="CJ12">
        <v>0.70968140964463389</v>
      </c>
      <c r="CK12">
        <v>-1.4501773191496325</v>
      </c>
      <c r="CL12">
        <v>-1.02469315210304</v>
      </c>
      <c r="CM12">
        <v>0.79724218054802476</v>
      </c>
      <c r="CN12">
        <v>-0.91189466305253275</v>
      </c>
      <c r="CO12">
        <v>-1.0704770985451697</v>
      </c>
      <c r="CP12">
        <v>-1.1282482072178164</v>
      </c>
      <c r="CQ12">
        <v>-0.96423440380820169</v>
      </c>
      <c r="CR12">
        <v>-0.87845893369155603</v>
      </c>
      <c r="CS12">
        <v>-0.41938423289296362</v>
      </c>
      <c r="CT12">
        <v>-0.84588635243322519</v>
      </c>
      <c r="CU12">
        <v>-0.88632708079139999</v>
      </c>
      <c r="CV12">
        <v>-0.19142232029447756</v>
      </c>
      <c r="CW12">
        <v>0.76111437286111461</v>
      </c>
      <c r="CX12">
        <v>-0.99061408830676678</v>
      </c>
      <c r="CY12">
        <v>-0.52769906953214107</v>
      </c>
      <c r="CZ12">
        <v>-0.72069766232756416</v>
      </c>
      <c r="DA12">
        <v>-0.81652781991056367</v>
      </c>
      <c r="DB12">
        <v>1.2713173782848597</v>
      </c>
      <c r="DC12">
        <v>-0.55799198787624893</v>
      </c>
      <c r="DD12">
        <v>-0.79825836846758536</v>
      </c>
      <c r="DE12">
        <v>-0.84896471845663313</v>
      </c>
      <c r="DF12">
        <v>-0.96369052954873258</v>
      </c>
      <c r="DG12">
        <v>-0.70657267843381266</v>
      </c>
      <c r="DH12">
        <v>-0.71820655916637188</v>
      </c>
      <c r="DI12">
        <v>-0.97250487188827839</v>
      </c>
      <c r="DJ12">
        <v>-0.79964231029790922</v>
      </c>
      <c r="DK12">
        <v>-0.98513657045125935</v>
      </c>
      <c r="DL12">
        <v>-1.1516212128047134</v>
      </c>
      <c r="DM12">
        <v>9.2346291627134758E-2</v>
      </c>
      <c r="DN12">
        <v>-1.5112623900395243</v>
      </c>
      <c r="DO12">
        <v>-0.448785754351334</v>
      </c>
      <c r="DP12">
        <v>-0.75427645505757646</v>
      </c>
      <c r="DQ12">
        <v>-1.1916829259155515</v>
      </c>
      <c r="DR12">
        <v>-0.86253578910247286</v>
      </c>
      <c r="DS12">
        <v>-0.87988929088336931</v>
      </c>
      <c r="DT12">
        <v>-0.91139423191880187</v>
      </c>
      <c r="DU12">
        <v>-0.93105244792633557</v>
      </c>
      <c r="DV12">
        <v>-0.96831722476283999</v>
      </c>
      <c r="DW12">
        <v>-1.0041483520768242</v>
      </c>
      <c r="DX12">
        <v>-0.81426040534123667</v>
      </c>
      <c r="DY12">
        <v>-0.76606388249095214</v>
      </c>
      <c r="DZ12">
        <v>0.32057916522471841</v>
      </c>
      <c r="EA12">
        <v>0.13948462863918887</v>
      </c>
      <c r="EB12">
        <v>0.67292622469205299</v>
      </c>
      <c r="EC12">
        <v>-0.50112356798260216</v>
      </c>
      <c r="ED12">
        <v>-1.0773706618432684</v>
      </c>
      <c r="EE12">
        <v>1.1350243407035852</v>
      </c>
      <c r="EF12">
        <v>-0.63819448487477592</v>
      </c>
      <c r="EG12">
        <v>-0.73833990922422388</v>
      </c>
      <c r="EH12">
        <v>-0.86801393433956819</v>
      </c>
      <c r="EI12">
        <v>-0.98793155636187291</v>
      </c>
      <c r="EJ12">
        <v>-0.87287983091896049</v>
      </c>
      <c r="EK12">
        <v>-0.99332601386218466</v>
      </c>
    </row>
  </sheetData>
  <phoneticPr fontId="18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BDC4-FAD4-4EFA-9375-3CCE15EDAC89}">
  <sheetPr codeName="Sheet4"/>
  <dimension ref="A1:AU29"/>
  <sheetViews>
    <sheetView tabSelected="1" topLeftCell="N4" zoomScale="85" zoomScaleNormal="85" workbookViewId="0">
      <selection activeCell="AK50" sqref="AK50"/>
    </sheetView>
  </sheetViews>
  <sheetFormatPr defaultColWidth="8.7109375" defaultRowHeight="12.75" x14ac:dyDescent="0.2"/>
  <cols>
    <col min="1" max="1" width="13.28515625" style="34" customWidth="1"/>
    <col min="2" max="2" width="12.85546875" style="34" customWidth="1"/>
    <col min="3" max="3" width="15.140625" style="34" customWidth="1"/>
    <col min="4" max="9" width="13.42578125" style="34" customWidth="1"/>
    <col min="10" max="10" width="12.140625" style="34" bestFit="1" customWidth="1"/>
    <col min="11" max="21" width="8.7109375" style="34"/>
    <col min="22" max="22" width="13.42578125" style="34" customWidth="1"/>
    <col min="23" max="23" width="12.7109375" style="34" customWidth="1"/>
    <col min="24" max="24" width="10.7109375" style="34" customWidth="1"/>
    <col min="25" max="25" width="11.85546875" style="34" customWidth="1"/>
    <col min="26" max="26" width="15.140625" style="34" customWidth="1"/>
    <col min="27" max="27" width="10.42578125" style="34" customWidth="1"/>
    <col min="28" max="28" width="10" style="34" customWidth="1"/>
    <col min="29" max="29" width="11.42578125" style="34" customWidth="1"/>
    <col min="30" max="30" width="10.42578125" style="34" customWidth="1"/>
    <col min="31" max="31" width="13" style="34" customWidth="1"/>
    <col min="32" max="32" width="11.42578125" style="34" customWidth="1"/>
    <col min="33" max="33" width="10" style="34" customWidth="1"/>
    <col min="34" max="34" width="12.85546875" style="34" customWidth="1"/>
    <col min="35" max="37" width="9.7109375" style="34" customWidth="1"/>
    <col min="38" max="38" width="9.85546875" style="34" customWidth="1"/>
    <col min="39" max="39" width="12.7109375" style="34" customWidth="1"/>
    <col min="40" max="40" width="10.7109375" style="34" customWidth="1"/>
    <col min="41" max="41" width="10.42578125" style="34" customWidth="1"/>
    <col min="42" max="42" width="12.7109375" style="34" customWidth="1"/>
    <col min="43" max="43" width="9.7109375" style="34" customWidth="1"/>
    <col min="44" max="44" width="9.140625" style="34" customWidth="1"/>
    <col min="45" max="45" width="10.7109375" style="34" customWidth="1"/>
    <col min="46" max="46" width="9.140625" style="34" customWidth="1"/>
    <col min="47" max="47" width="10.7109375" style="34" customWidth="1"/>
    <col min="48" max="16384" width="8.7109375" style="34"/>
  </cols>
  <sheetData>
    <row r="1" spans="1:47" ht="36.75" customHeight="1" x14ac:dyDescent="0.2">
      <c r="A1" s="34" t="s">
        <v>134</v>
      </c>
      <c r="B1" s="52" t="s">
        <v>135</v>
      </c>
      <c r="C1" s="52" t="s">
        <v>381</v>
      </c>
      <c r="D1" s="66" t="s">
        <v>382</v>
      </c>
      <c r="E1" s="66" t="s">
        <v>383</v>
      </c>
      <c r="F1" s="66" t="s">
        <v>384</v>
      </c>
      <c r="G1" s="66" t="s">
        <v>387</v>
      </c>
      <c r="H1" s="66" t="s">
        <v>385</v>
      </c>
      <c r="I1" s="66" t="s">
        <v>386</v>
      </c>
      <c r="J1" s="66"/>
    </row>
    <row r="2" spans="1:47" ht="15" x14ac:dyDescent="0.25">
      <c r="B2" s="34" t="s">
        <v>103</v>
      </c>
      <c r="C2" s="34">
        <v>2.9460000000000002</v>
      </c>
      <c r="D2" s="51"/>
      <c r="E2" s="51"/>
      <c r="F2" s="51"/>
      <c r="G2" s="51"/>
      <c r="H2" s="51"/>
      <c r="I2" s="51"/>
      <c r="J2" s="45"/>
    </row>
    <row r="3" spans="1:47" ht="15" x14ac:dyDescent="0.25">
      <c r="B3" s="34" t="s">
        <v>120</v>
      </c>
      <c r="C3" s="34">
        <v>17.11</v>
      </c>
      <c r="D3" s="51">
        <v>-2.7010231860900001E-4</v>
      </c>
      <c r="E3" s="51">
        <v>-6.5229152096399996E-4</v>
      </c>
      <c r="F3" s="51">
        <v>7.4914650758700001E-4</v>
      </c>
      <c r="G3" s="51">
        <v>1.7996999667959999E-3</v>
      </c>
      <c r="H3" s="51">
        <v>3.1230358872560001E-3</v>
      </c>
      <c r="I3" s="51">
        <v>-2.0502123516049999E-3</v>
      </c>
      <c r="J3" s="45"/>
    </row>
    <row r="4" spans="1:47" ht="15" x14ac:dyDescent="0.25">
      <c r="B4" s="34" t="s">
        <v>107</v>
      </c>
      <c r="C4" s="34">
        <v>4.7270000000000003</v>
      </c>
      <c r="D4" s="51">
        <v>1.9744625023999999E-4</v>
      </c>
      <c r="E4" s="51">
        <v>5.5921747116400005E-4</v>
      </c>
      <c r="F4" s="51">
        <v>-6.7415158264300004E-4</v>
      </c>
      <c r="G4" s="51">
        <v>-1.720325904898E-3</v>
      </c>
      <c r="H4" s="51">
        <v>-2.9281901661309998E-3</v>
      </c>
      <c r="I4" s="51">
        <v>2.1230289712549999E-3</v>
      </c>
      <c r="J4" s="45"/>
    </row>
    <row r="5" spans="1:47" ht="15" x14ac:dyDescent="0.25">
      <c r="B5" s="34" t="s">
        <v>108</v>
      </c>
      <c r="C5" s="34">
        <v>2.61</v>
      </c>
      <c r="D5" s="51">
        <v>3.1844619661600002E-4</v>
      </c>
      <c r="E5" s="51">
        <v>9.2025141930199999E-4</v>
      </c>
      <c r="F5" s="51">
        <v>-1.03531696368E-3</v>
      </c>
      <c r="G5" s="51">
        <v>-2.4095557164400001E-3</v>
      </c>
      <c r="H5" s="51">
        <v>-4.0548779070380004E-3</v>
      </c>
      <c r="I5" s="51">
        <v>3.0401090625669998E-3</v>
      </c>
      <c r="J5" s="45"/>
    </row>
    <row r="6" spans="1:47" ht="15" x14ac:dyDescent="0.25">
      <c r="B6" s="34" t="s">
        <v>105</v>
      </c>
      <c r="C6" s="34">
        <v>6.22</v>
      </c>
      <c r="D6" s="51">
        <v>2.2018450545099999E-4</v>
      </c>
      <c r="E6" s="51">
        <v>6.3934555510100004E-4</v>
      </c>
      <c r="F6" s="51">
        <v>-8.0235657514999995E-4</v>
      </c>
      <c r="G6" s="51">
        <v>-1.940698013641E-3</v>
      </c>
      <c r="H6" s="51">
        <v>-3.1975912861529998E-3</v>
      </c>
      <c r="I6" s="51">
        <v>2.3940850514920001E-3</v>
      </c>
      <c r="J6" s="45"/>
    </row>
    <row r="7" spans="1:47" ht="15" x14ac:dyDescent="0.25">
      <c r="B7" s="34" t="s">
        <v>104</v>
      </c>
      <c r="C7" s="34">
        <v>8.4009999999999998</v>
      </c>
      <c r="D7" s="51">
        <v>4.6997192840000002E-5</v>
      </c>
      <c r="E7" s="51">
        <v>3.2206607284000001E-4</v>
      </c>
      <c r="F7" s="51">
        <v>-4.64901473606E-4</v>
      </c>
      <c r="G7" s="51">
        <v>-1.160505809821E-3</v>
      </c>
      <c r="H7" s="51">
        <v>-2.020861487836E-3</v>
      </c>
      <c r="I7" s="51">
        <v>1.3940132921560001E-3</v>
      </c>
      <c r="J7" s="45"/>
    </row>
    <row r="8" spans="1:47" ht="12.95" customHeight="1" x14ac:dyDescent="0.2">
      <c r="X8" s="55"/>
    </row>
    <row r="9" spans="1:47" ht="12.95" customHeight="1" x14ac:dyDescent="0.2">
      <c r="X9" s="55"/>
    </row>
    <row r="10" spans="1:47" ht="15" x14ac:dyDescent="0.25">
      <c r="V10"/>
      <c r="W10"/>
      <c r="X10"/>
      <c r="Y10"/>
      <c r="Z10"/>
      <c r="AA10"/>
      <c r="AB10"/>
      <c r="AC10"/>
      <c r="AD10"/>
      <c r="AE10"/>
    </row>
    <row r="11" spans="1:47" ht="15" x14ac:dyDescent="0.25">
      <c r="D11" s="63" t="s">
        <v>200</v>
      </c>
      <c r="E11" s="62" t="s">
        <v>199</v>
      </c>
      <c r="F11" s="62" t="s">
        <v>201</v>
      </c>
      <c r="G11" s="62" t="s">
        <v>199</v>
      </c>
      <c r="H11" s="62" t="s">
        <v>199</v>
      </c>
      <c r="I11" s="62" t="s">
        <v>201</v>
      </c>
      <c r="R11" s="69" t="s">
        <v>199</v>
      </c>
      <c r="S11" s="69" t="s">
        <v>199</v>
      </c>
      <c r="T11" s="69" t="s">
        <v>201</v>
      </c>
      <c r="U11" s="69" t="s">
        <v>201</v>
      </c>
      <c r="V11" s="69" t="s">
        <v>201</v>
      </c>
      <c r="W11" s="61"/>
      <c r="X11" s="62" t="s">
        <v>199</v>
      </c>
      <c r="Y11" s="63" t="s">
        <v>200</v>
      </c>
      <c r="Z11" s="62" t="s">
        <v>199</v>
      </c>
      <c r="AA11" s="62" t="s">
        <v>199</v>
      </c>
      <c r="AB11" s="62" t="s">
        <v>199</v>
      </c>
      <c r="AC11" s="63" t="s">
        <v>200</v>
      </c>
      <c r="AD11" s="62" t="s">
        <v>199</v>
      </c>
      <c r="AE11" s="63" t="s">
        <v>200</v>
      </c>
      <c r="AF11" s="58" t="s">
        <v>199</v>
      </c>
      <c r="AG11" s="58" t="s">
        <v>199</v>
      </c>
      <c r="AH11" s="58" t="s">
        <v>201</v>
      </c>
      <c r="AI11" s="58" t="s">
        <v>199</v>
      </c>
      <c r="AJ11" s="58" t="s">
        <v>199</v>
      </c>
      <c r="AK11" s="58" t="s">
        <v>199</v>
      </c>
      <c r="AL11" s="58" t="s">
        <v>199</v>
      </c>
      <c r="AM11" s="58" t="s">
        <v>199</v>
      </c>
    </row>
    <row r="12" spans="1:47" x14ac:dyDescent="0.2">
      <c r="D12" s="62" t="s">
        <v>198</v>
      </c>
      <c r="E12" s="62" t="s">
        <v>198</v>
      </c>
      <c r="F12" s="62" t="s">
        <v>202</v>
      </c>
      <c r="G12" s="62" t="s">
        <v>198</v>
      </c>
      <c r="H12" s="62" t="s">
        <v>198</v>
      </c>
      <c r="I12" s="62" t="s">
        <v>202</v>
      </c>
      <c r="R12" s="69" t="s">
        <v>198</v>
      </c>
      <c r="S12" s="69" t="s">
        <v>198</v>
      </c>
      <c r="T12" s="69" t="s">
        <v>202</v>
      </c>
      <c r="U12" s="69" t="s">
        <v>202</v>
      </c>
      <c r="V12" s="69" t="s">
        <v>202</v>
      </c>
      <c r="W12" s="61"/>
      <c r="X12" s="62" t="s">
        <v>198</v>
      </c>
      <c r="Y12" s="62" t="s">
        <v>198</v>
      </c>
      <c r="Z12" s="62" t="s">
        <v>198</v>
      </c>
      <c r="AA12" s="62" t="s">
        <v>198</v>
      </c>
      <c r="AB12" s="62" t="s">
        <v>198</v>
      </c>
      <c r="AC12" s="62" t="s">
        <v>198</v>
      </c>
      <c r="AD12" s="62" t="s">
        <v>198</v>
      </c>
      <c r="AE12" s="62" t="s">
        <v>198</v>
      </c>
      <c r="AF12" s="58" t="s">
        <v>198</v>
      </c>
      <c r="AG12" s="58" t="s">
        <v>198</v>
      </c>
      <c r="AH12" s="58" t="s">
        <v>202</v>
      </c>
      <c r="AI12" s="58" t="s">
        <v>198</v>
      </c>
      <c r="AJ12" s="58" t="s">
        <v>198</v>
      </c>
      <c r="AK12" s="58" t="s">
        <v>198</v>
      </c>
      <c r="AL12" s="58" t="s">
        <v>198</v>
      </c>
      <c r="AM12" s="58" t="s">
        <v>198</v>
      </c>
    </row>
    <row r="13" spans="1:47" s="37" customFormat="1" ht="64.5" x14ac:dyDescent="0.25">
      <c r="A13" s="70" t="s">
        <v>220</v>
      </c>
      <c r="B13" s="52" t="s">
        <v>135</v>
      </c>
      <c r="C13" s="52" t="s">
        <v>197</v>
      </c>
      <c r="D13" s="52" t="s">
        <v>219</v>
      </c>
      <c r="E13" s="68" t="s">
        <v>136</v>
      </c>
      <c r="F13" s="68" t="s">
        <v>137</v>
      </c>
      <c r="G13" s="68" t="s">
        <v>138</v>
      </c>
      <c r="H13" s="68" t="s">
        <v>139</v>
      </c>
      <c r="I13" s="68" t="s">
        <v>140</v>
      </c>
      <c r="J13" s="52" t="s">
        <v>141</v>
      </c>
      <c r="K13" s="52" t="s">
        <v>221</v>
      </c>
      <c r="L13" s="52" t="s">
        <v>222</v>
      </c>
      <c r="M13" s="52" t="s">
        <v>223</v>
      </c>
      <c r="N13" s="52" t="s">
        <v>224</v>
      </c>
      <c r="O13" s="52" t="s">
        <v>225</v>
      </c>
      <c r="P13" s="52" t="s">
        <v>226</v>
      </c>
      <c r="Q13" s="54" t="s">
        <v>111</v>
      </c>
      <c r="R13" s="53" t="s">
        <v>112</v>
      </c>
      <c r="S13" s="53" t="s">
        <v>113</v>
      </c>
      <c r="T13" s="53" t="s">
        <v>114</v>
      </c>
      <c r="U13" s="53" t="s">
        <v>116</v>
      </c>
      <c r="V13" s="53" t="s">
        <v>115</v>
      </c>
      <c r="W13" s="64" t="s">
        <v>172</v>
      </c>
      <c r="X13" s="67" t="s">
        <v>211</v>
      </c>
      <c r="Y13" s="67" t="s">
        <v>212</v>
      </c>
      <c r="Z13" s="67" t="s">
        <v>213</v>
      </c>
      <c r="AA13" s="67" t="s">
        <v>214</v>
      </c>
      <c r="AB13" s="67" t="s">
        <v>215</v>
      </c>
      <c r="AC13" s="67" t="s">
        <v>216</v>
      </c>
      <c r="AD13" s="67" t="s">
        <v>217</v>
      </c>
      <c r="AE13" s="67" t="s">
        <v>218</v>
      </c>
      <c r="AF13" s="59" t="s">
        <v>203</v>
      </c>
      <c r="AG13" s="59" t="s">
        <v>204</v>
      </c>
      <c r="AH13" s="59" t="s">
        <v>205</v>
      </c>
      <c r="AI13" s="59" t="s">
        <v>206</v>
      </c>
      <c r="AJ13" s="59" t="s">
        <v>207</v>
      </c>
      <c r="AK13" s="59" t="s">
        <v>208</v>
      </c>
      <c r="AL13" s="59" t="s">
        <v>209</v>
      </c>
      <c r="AM13" s="59" t="s">
        <v>210</v>
      </c>
      <c r="AN13"/>
      <c r="AO13"/>
      <c r="AP13"/>
      <c r="AQ13"/>
      <c r="AR13"/>
      <c r="AS13"/>
      <c r="AT13"/>
      <c r="AU13"/>
    </row>
    <row r="14" spans="1:47" ht="15" x14ac:dyDescent="0.25">
      <c r="A14"/>
      <c r="B14" s="34" t="s">
        <v>103</v>
      </c>
      <c r="C14" s="71"/>
      <c r="D14" s="34">
        <v>2.9460000000000002</v>
      </c>
      <c r="E14" s="72">
        <v>7.3125657889999998</v>
      </c>
      <c r="F14" s="72">
        <v>41.965131579999998</v>
      </c>
      <c r="G14" s="72">
        <v>31856.34737</v>
      </c>
      <c r="H14" s="72">
        <v>72.017763160000001</v>
      </c>
      <c r="I14" s="72">
        <v>2.424802632</v>
      </c>
      <c r="J14" s="71"/>
      <c r="K14" s="71"/>
      <c r="L14" s="71"/>
      <c r="M14" s="71"/>
      <c r="N14" s="71"/>
      <c r="O14" s="71"/>
      <c r="P14" s="71"/>
      <c r="Q14" s="35">
        <v>7.9141923443518998</v>
      </c>
      <c r="R14" s="35">
        <f t="shared" ref="R14:R19" si="0">Q14*0.12</f>
        <v>0.94970308132222792</v>
      </c>
      <c r="S14" s="35">
        <v>1.73</v>
      </c>
      <c r="T14" s="35">
        <f t="shared" ref="T14:T19" si="1">S14-R14</f>
        <v>0.78029691867777207</v>
      </c>
      <c r="U14" s="56"/>
      <c r="V14" s="57"/>
      <c r="W14" s="61" t="s">
        <v>103</v>
      </c>
      <c r="X14" s="65">
        <v>0</v>
      </c>
      <c r="Y14" s="65">
        <v>20800373.595605865</v>
      </c>
      <c r="Z14" s="65">
        <v>629672684.43322849</v>
      </c>
      <c r="AA14" s="65">
        <v>32569774.360798284</v>
      </c>
      <c r="AB14" s="65">
        <v>71725140.19963403</v>
      </c>
      <c r="AC14" s="65">
        <v>137357797.4479478</v>
      </c>
      <c r="AD14" s="65">
        <v>122281946.56432188</v>
      </c>
      <c r="AE14" s="65">
        <v>1014407716.6015364</v>
      </c>
      <c r="AF14" s="60">
        <v>621727755.66877306</v>
      </c>
      <c r="AG14" s="60">
        <v>46558062.35266684</v>
      </c>
      <c r="AH14" s="60">
        <v>80287750.958862245</v>
      </c>
      <c r="AI14" s="60">
        <v>59774152.50220824</v>
      </c>
      <c r="AJ14" s="60">
        <v>0</v>
      </c>
      <c r="AK14" s="60">
        <v>143704757.57413894</v>
      </c>
      <c r="AL14" s="60">
        <v>113855812.17020723</v>
      </c>
      <c r="AM14" s="60">
        <v>1065908291.2268565</v>
      </c>
      <c r="AN14"/>
      <c r="AO14"/>
      <c r="AP14"/>
      <c r="AQ14"/>
      <c r="AR14"/>
      <c r="AS14"/>
      <c r="AT14"/>
      <c r="AU14"/>
    </row>
    <row r="15" spans="1:47" ht="15" x14ac:dyDescent="0.25">
      <c r="A15"/>
      <c r="B15" s="34" t="s">
        <v>120</v>
      </c>
      <c r="C15" s="71">
        <v>35991550341.403343</v>
      </c>
      <c r="D15" s="34">
        <v>17.11</v>
      </c>
      <c r="E15" s="71">
        <v>16.048768119999998</v>
      </c>
      <c r="F15" s="71">
        <v>28.96304348</v>
      </c>
      <c r="G15" s="71">
        <v>33303.702539999998</v>
      </c>
      <c r="H15" s="71">
        <v>73.239855070000004</v>
      </c>
      <c r="I15" s="71">
        <v>3.694818841</v>
      </c>
      <c r="J15" s="71">
        <v>27.180014490000001</v>
      </c>
      <c r="K15" s="71">
        <v>-2.7010231860900001E-4</v>
      </c>
      <c r="L15" s="71">
        <v>-6.5229152096399996E-4</v>
      </c>
      <c r="M15" s="71">
        <v>7.4914650758700001E-4</v>
      </c>
      <c r="N15" s="71">
        <v>1.7996999667959999E-3</v>
      </c>
      <c r="O15" s="71">
        <v>3.1230358872560001E-3</v>
      </c>
      <c r="P15" s="71">
        <v>-2.0502123516049999E-3</v>
      </c>
      <c r="Q15" s="35">
        <v>9.2088491663400571</v>
      </c>
      <c r="R15" s="35">
        <f t="shared" si="0"/>
        <v>1.1050618999608068</v>
      </c>
      <c r="S15" s="35">
        <v>5.58</v>
      </c>
      <c r="T15" s="35">
        <f t="shared" si="1"/>
        <v>4.4749381000391928</v>
      </c>
      <c r="U15" s="36">
        <v>0.49</v>
      </c>
      <c r="V15" s="35">
        <f>T15/U15</f>
        <v>9.1325267347738635</v>
      </c>
      <c r="W15" s="61" t="s">
        <v>120</v>
      </c>
      <c r="X15" s="65">
        <v>56256835.990839921</v>
      </c>
      <c r="Y15" s="65">
        <v>17357375.596416522</v>
      </c>
      <c r="Z15" s="65">
        <v>8693956.3878344316</v>
      </c>
      <c r="AA15" s="65">
        <v>15487491.855617084</v>
      </c>
      <c r="AB15" s="65">
        <v>9418452.7534873001</v>
      </c>
      <c r="AC15" s="65">
        <v>35861729504.957695</v>
      </c>
      <c r="AD15" s="65">
        <v>22606723.861458316</v>
      </c>
      <c r="AE15" s="65">
        <v>35991550341.403343</v>
      </c>
      <c r="AF15" s="60">
        <v>13040934.581751645</v>
      </c>
      <c r="AG15" s="60">
        <v>4414732.1134105837</v>
      </c>
      <c r="AH15" s="60">
        <v>33585326.109042734</v>
      </c>
      <c r="AI15" s="60">
        <v>51663929.806260057</v>
      </c>
      <c r="AJ15" s="60">
        <v>0</v>
      </c>
      <c r="AK15" s="60">
        <v>1663900497.4618542</v>
      </c>
      <c r="AL15" s="60">
        <v>27292772.018539947</v>
      </c>
      <c r="AM15" s="60">
        <v>1793898192.0908592</v>
      </c>
      <c r="AN15"/>
      <c r="AO15"/>
      <c r="AP15"/>
      <c r="AQ15"/>
      <c r="AR15"/>
      <c r="AS15"/>
      <c r="AT15"/>
      <c r="AU15"/>
    </row>
    <row r="16" spans="1:47" ht="15" x14ac:dyDescent="0.25">
      <c r="A16"/>
      <c r="B16" s="34" t="s">
        <v>107</v>
      </c>
      <c r="C16" s="71">
        <v>3151868299.3693657</v>
      </c>
      <c r="D16" s="34">
        <v>4.7270000000000003</v>
      </c>
      <c r="E16" s="71">
        <v>4.7270270270000001</v>
      </c>
      <c r="F16" s="71">
        <v>31.914020270000002</v>
      </c>
      <c r="G16" s="71">
        <v>28126.32027</v>
      </c>
      <c r="H16" s="71">
        <v>72.714527029999999</v>
      </c>
      <c r="I16" s="71">
        <v>2.1273986489999999</v>
      </c>
      <c r="J16" s="71">
        <v>25.453277029999999</v>
      </c>
      <c r="K16" s="71">
        <v>1.9744625023999999E-4</v>
      </c>
      <c r="L16" s="71">
        <v>5.5921747116400005E-4</v>
      </c>
      <c r="M16" s="71">
        <v>-6.7415158264300004E-4</v>
      </c>
      <c r="N16" s="71">
        <v>-1.720325904898E-3</v>
      </c>
      <c r="O16" s="71">
        <v>-2.9281901661309998E-3</v>
      </c>
      <c r="P16" s="71">
        <v>2.1230289712549999E-3</v>
      </c>
      <c r="Q16" s="35">
        <v>9.0241698218879094</v>
      </c>
      <c r="R16" s="35">
        <f t="shared" si="0"/>
        <v>1.082900378626549</v>
      </c>
      <c r="S16" s="35">
        <v>2.2000000000000002</v>
      </c>
      <c r="T16" s="35">
        <f t="shared" si="1"/>
        <v>1.1170996213734512</v>
      </c>
      <c r="U16" s="36">
        <v>0.09</v>
      </c>
      <c r="V16" s="35">
        <f>T16/U16</f>
        <v>12.412218015260569</v>
      </c>
      <c r="W16" s="61" t="s">
        <v>107</v>
      </c>
      <c r="X16" s="65">
        <v>112417003.86740963</v>
      </c>
      <c r="Y16" s="65">
        <v>8029530.301068671</v>
      </c>
      <c r="Z16" s="65">
        <v>6244602.8523559542</v>
      </c>
      <c r="AA16" s="65">
        <v>19362044.868215691</v>
      </c>
      <c r="AB16" s="65">
        <v>27096164.07541731</v>
      </c>
      <c r="AC16" s="65">
        <v>2951198741.6195369</v>
      </c>
      <c r="AD16" s="65">
        <v>27520211.785361111</v>
      </c>
      <c r="AE16" s="65">
        <v>3151868299.3693657</v>
      </c>
      <c r="AF16" s="60">
        <v>113163039.62200676</v>
      </c>
      <c r="AG16" s="60">
        <v>2648839.2680463502</v>
      </c>
      <c r="AH16" s="60">
        <v>20544391.527291086</v>
      </c>
      <c r="AI16" s="60">
        <v>21938496.003149115</v>
      </c>
      <c r="AJ16" s="60">
        <v>4346978.1939172149</v>
      </c>
      <c r="AK16" s="60">
        <v>6603046403.0132427</v>
      </c>
      <c r="AL16" s="60">
        <v>190311877.61410379</v>
      </c>
      <c r="AM16" s="60">
        <v>6956000025.2417564</v>
      </c>
      <c r="AN16"/>
      <c r="AO16"/>
      <c r="AP16"/>
      <c r="AQ16"/>
      <c r="AR16"/>
      <c r="AS16"/>
      <c r="AT16"/>
      <c r="AU16"/>
    </row>
    <row r="17" spans="1:47" ht="15" x14ac:dyDescent="0.25">
      <c r="A17"/>
      <c r="B17" s="34" t="s">
        <v>108</v>
      </c>
      <c r="C17" s="71">
        <v>6575334920.4394131</v>
      </c>
      <c r="D17" s="34">
        <v>2.61</v>
      </c>
      <c r="E17" s="71">
        <v>2.6101986749999999</v>
      </c>
      <c r="F17" s="71">
        <v>31.100198679999998</v>
      </c>
      <c r="G17" s="71">
        <v>28593.554749999999</v>
      </c>
      <c r="H17" s="71">
        <v>58.407947020000002</v>
      </c>
      <c r="I17" s="71">
        <v>3.492317881</v>
      </c>
      <c r="J17" s="71">
        <v>25.341147899999999</v>
      </c>
      <c r="K17" s="71">
        <v>3.1844619661600002E-4</v>
      </c>
      <c r="L17" s="71">
        <v>9.2025141930199999E-4</v>
      </c>
      <c r="M17" s="71">
        <v>-1.03531696368E-3</v>
      </c>
      <c r="N17" s="71">
        <v>-2.4095557164400001E-3</v>
      </c>
      <c r="O17" s="71">
        <v>-4.0548779070380004E-3</v>
      </c>
      <c r="P17" s="71">
        <v>3.0401090625669998E-3</v>
      </c>
      <c r="Q17" s="35">
        <v>14.215409594463097</v>
      </c>
      <c r="R17" s="35">
        <f t="shared" si="0"/>
        <v>1.7058491513355716</v>
      </c>
      <c r="S17" s="35">
        <v>2.81</v>
      </c>
      <c r="T17" s="35">
        <f t="shared" si="1"/>
        <v>1.1041508486644285</v>
      </c>
      <c r="U17" s="36">
        <v>7.0000000000000007E-2</v>
      </c>
      <c r="V17" s="35">
        <f>T17/U17</f>
        <v>15.773583552348978</v>
      </c>
      <c r="W17" s="61" t="s">
        <v>108</v>
      </c>
      <c r="X17" s="65">
        <v>160575339.37645534</v>
      </c>
      <c r="Y17" s="65">
        <v>1301171.3290317196</v>
      </c>
      <c r="Z17" s="65">
        <v>43467599.567832418</v>
      </c>
      <c r="AA17" s="65">
        <v>5244338.3082377203</v>
      </c>
      <c r="AB17" s="65">
        <v>11476022.431941446</v>
      </c>
      <c r="AC17" s="65">
        <v>6343513283.429287</v>
      </c>
      <c r="AD17" s="65">
        <v>9757165.9966280274</v>
      </c>
      <c r="AE17" s="65">
        <v>6575334920.4394131</v>
      </c>
      <c r="AF17" s="60">
        <v>51222598.367347226</v>
      </c>
      <c r="AG17" s="60">
        <v>919471.74969360861</v>
      </c>
      <c r="AH17" s="60">
        <v>8951716.0693866983</v>
      </c>
      <c r="AI17" s="60">
        <v>4567023.1002956377</v>
      </c>
      <c r="AJ17" s="60">
        <v>1434502.8039926807</v>
      </c>
      <c r="AK17" s="60">
        <v>2546763257.1407585</v>
      </c>
      <c r="AL17" s="60">
        <v>36815912.801943347</v>
      </c>
      <c r="AM17" s="60">
        <v>2650674482.0334177</v>
      </c>
      <c r="AN17"/>
      <c r="AO17"/>
      <c r="AP17"/>
      <c r="AQ17"/>
      <c r="AR17"/>
      <c r="AS17"/>
      <c r="AT17"/>
      <c r="AU17"/>
    </row>
    <row r="18" spans="1:47" ht="15" x14ac:dyDescent="0.25">
      <c r="A18"/>
      <c r="B18" s="34" t="s">
        <v>105</v>
      </c>
      <c r="C18" s="71">
        <v>14689879834.446617</v>
      </c>
      <c r="D18" s="34">
        <v>6.22</v>
      </c>
      <c r="E18" s="71">
        <v>5.9923607429999999</v>
      </c>
      <c r="F18" s="71">
        <v>27.60458886</v>
      </c>
      <c r="G18" s="71">
        <v>31251.651989999998</v>
      </c>
      <c r="H18" s="71">
        <v>77.4464191</v>
      </c>
      <c r="I18" s="71">
        <v>2.1728912469999999</v>
      </c>
      <c r="J18" s="71">
        <v>26.134366050000001</v>
      </c>
      <c r="K18" s="71">
        <v>2.2018450545099999E-4</v>
      </c>
      <c r="L18" s="71">
        <v>6.3934555510100004E-4</v>
      </c>
      <c r="M18" s="71">
        <v>-8.0235657514999995E-4</v>
      </c>
      <c r="N18" s="71">
        <v>-1.940698013641E-3</v>
      </c>
      <c r="O18" s="71">
        <v>-3.1975912861529998E-3</v>
      </c>
      <c r="P18" s="71">
        <v>2.3940850514920001E-3</v>
      </c>
      <c r="Q18" s="35">
        <v>37.16086422626411</v>
      </c>
      <c r="R18" s="35">
        <f t="shared" si="0"/>
        <v>4.459303707151693</v>
      </c>
      <c r="S18" s="35">
        <v>7.35</v>
      </c>
      <c r="T18" s="35">
        <f t="shared" si="1"/>
        <v>2.8906962928483066</v>
      </c>
      <c r="U18" s="36">
        <v>0.23</v>
      </c>
      <c r="V18" s="35">
        <f>T18/U18</f>
        <v>12.568244751514376</v>
      </c>
      <c r="W18" s="61" t="s">
        <v>105</v>
      </c>
      <c r="X18" s="65">
        <v>8021646.6614060253</v>
      </c>
      <c r="Y18" s="65">
        <v>1087910.8255735592</v>
      </c>
      <c r="Z18" s="65">
        <v>5506352.0262552053</v>
      </c>
      <c r="AA18" s="65">
        <v>840863.15817711025</v>
      </c>
      <c r="AB18" s="65">
        <v>1434502.8039926807</v>
      </c>
      <c r="AC18" s="65">
        <v>14667505391.744059</v>
      </c>
      <c r="AD18" s="65">
        <v>5483167.2271540919</v>
      </c>
      <c r="AE18" s="65">
        <v>14689879834.446617</v>
      </c>
      <c r="AF18" s="60">
        <v>0</v>
      </c>
      <c r="AG18" s="60">
        <v>5125994.5094600655</v>
      </c>
      <c r="AH18" s="60">
        <v>0</v>
      </c>
      <c r="AI18" s="60">
        <v>17631261.350585222</v>
      </c>
      <c r="AJ18" s="60">
        <v>5977095.0166361695</v>
      </c>
      <c r="AK18" s="60">
        <v>3440566602.2100015</v>
      </c>
      <c r="AL18" s="60">
        <v>189468629.52444977</v>
      </c>
      <c r="AM18" s="60">
        <v>3658769582.6111326</v>
      </c>
      <c r="AN18"/>
      <c r="AO18"/>
      <c r="AP18"/>
      <c r="AQ18"/>
      <c r="AR18"/>
      <c r="AS18"/>
      <c r="AT18"/>
      <c r="AU18"/>
    </row>
    <row r="19" spans="1:47" ht="15" x14ac:dyDescent="0.25">
      <c r="A19"/>
      <c r="B19" s="34" t="s">
        <v>104</v>
      </c>
      <c r="C19" s="71">
        <v>13164350541.355188</v>
      </c>
      <c r="D19" s="34">
        <v>8.4009999999999998</v>
      </c>
      <c r="E19" s="71">
        <v>8.4017708330000005</v>
      </c>
      <c r="F19" s="71">
        <v>32.446406250000003</v>
      </c>
      <c r="G19" s="71">
        <v>30858.177599999999</v>
      </c>
      <c r="H19" s="71">
        <v>96.597916670000004</v>
      </c>
      <c r="I19" s="71">
        <v>19.604270830000001</v>
      </c>
      <c r="J19" s="71">
        <v>27.344374999999999</v>
      </c>
      <c r="K19" s="71">
        <v>4.6997192840000002E-5</v>
      </c>
      <c r="L19" s="71">
        <v>3.2206607284000001E-4</v>
      </c>
      <c r="M19" s="71">
        <v>-4.64901473606E-4</v>
      </c>
      <c r="N19" s="71">
        <v>-1.160505809821E-3</v>
      </c>
      <c r="O19" s="71">
        <v>-2.020861487836E-3</v>
      </c>
      <c r="P19" s="71">
        <v>1.3940132921560001E-3</v>
      </c>
      <c r="Q19" s="35">
        <v>6.6053542802263445</v>
      </c>
      <c r="R19" s="35">
        <f t="shared" si="0"/>
        <v>0.79264251362716132</v>
      </c>
      <c r="S19" s="35">
        <v>1.41</v>
      </c>
      <c r="T19" s="35">
        <f t="shared" si="1"/>
        <v>0.6173574863728386</v>
      </c>
      <c r="U19" s="36">
        <v>0.04</v>
      </c>
      <c r="V19" s="35">
        <f>T19/U19</f>
        <v>15.433937159320966</v>
      </c>
      <c r="W19" s="61" t="s">
        <v>104</v>
      </c>
      <c r="X19" s="65">
        <v>13998729.486764906</v>
      </c>
      <c r="Y19" s="65">
        <v>5223722.7801010562</v>
      </c>
      <c r="Z19" s="65">
        <v>15065887.120013466</v>
      </c>
      <c r="AA19" s="65">
        <v>362398847.19567573</v>
      </c>
      <c r="AB19" s="65">
        <v>12751136.035490498</v>
      </c>
      <c r="AC19" s="65">
        <v>12737399356.691914</v>
      </c>
      <c r="AD19" s="65">
        <v>17512862.045229796</v>
      </c>
      <c r="AE19" s="65">
        <v>13164350541.355188</v>
      </c>
      <c r="AF19" s="60">
        <v>2306250609.6508069</v>
      </c>
      <c r="AG19" s="60">
        <v>2629875.9090739125</v>
      </c>
      <c r="AH19" s="60">
        <v>25478523.255135868</v>
      </c>
      <c r="AI19" s="60">
        <v>1656609331.7411463</v>
      </c>
      <c r="AJ19" s="60">
        <v>0</v>
      </c>
      <c r="AK19" s="60">
        <v>26168650649.205948</v>
      </c>
      <c r="AL19" s="60">
        <v>19786245.572312843</v>
      </c>
      <c r="AM19" s="60">
        <v>30179405235.334423</v>
      </c>
      <c r="AN19"/>
      <c r="AO19"/>
      <c r="AP19"/>
      <c r="AQ19"/>
      <c r="AR19"/>
      <c r="AS19"/>
      <c r="AT19"/>
      <c r="AU19"/>
    </row>
    <row r="23" spans="1:47" ht="39" x14ac:dyDescent="0.25">
      <c r="A23"/>
      <c r="B23" s="52" t="s">
        <v>135</v>
      </c>
      <c r="C23" s="52" t="s">
        <v>221</v>
      </c>
      <c r="D23" s="52" t="s">
        <v>222</v>
      </c>
      <c r="E23" s="52" t="s">
        <v>223</v>
      </c>
      <c r="F23" s="52" t="s">
        <v>224</v>
      </c>
      <c r="G23" s="52" t="s">
        <v>225</v>
      </c>
      <c r="H23" s="52" t="s">
        <v>226</v>
      </c>
      <c r="I23" s="52" t="s">
        <v>136</v>
      </c>
      <c r="J23" s="52" t="s">
        <v>197</v>
      </c>
      <c r="K23" s="52" t="s">
        <v>219</v>
      </c>
    </row>
    <row r="24" spans="1:47" x14ac:dyDescent="0.2">
      <c r="B24" s="34" t="s">
        <v>103</v>
      </c>
      <c r="C24" s="37"/>
      <c r="D24" s="37"/>
      <c r="E24" s="37"/>
      <c r="F24" s="37"/>
      <c r="G24" s="37"/>
      <c r="H24" s="37"/>
      <c r="I24" s="37"/>
      <c r="J24" s="37"/>
      <c r="K24" s="34">
        <v>2.9460000000000002</v>
      </c>
    </row>
    <row r="25" spans="1:47" x14ac:dyDescent="0.2">
      <c r="B25" s="34" t="s">
        <v>120</v>
      </c>
      <c r="C25" s="51">
        <v>-2.7010231860900001E-4</v>
      </c>
      <c r="D25" s="51">
        <v>-6.5229152096399996E-4</v>
      </c>
      <c r="E25" s="51">
        <v>7.4914650758700001E-4</v>
      </c>
      <c r="F25" s="51">
        <v>1.7996999667959999E-3</v>
      </c>
      <c r="G25" s="51">
        <v>3.1230358872560001E-3</v>
      </c>
      <c r="H25" s="51">
        <v>-2.0502123516049999E-3</v>
      </c>
      <c r="I25" s="51">
        <v>16.048768119999998</v>
      </c>
      <c r="J25" s="51">
        <v>35991550341.403343</v>
      </c>
      <c r="K25" s="34">
        <v>17.11</v>
      </c>
    </row>
    <row r="26" spans="1:47" x14ac:dyDescent="0.2">
      <c r="B26" s="34" t="s">
        <v>107</v>
      </c>
      <c r="C26" s="51">
        <v>1.9744625023999999E-4</v>
      </c>
      <c r="D26" s="51">
        <v>5.5921747116400005E-4</v>
      </c>
      <c r="E26" s="51">
        <v>-6.7415158264300004E-4</v>
      </c>
      <c r="F26" s="51">
        <v>-1.720325904898E-3</v>
      </c>
      <c r="G26" s="51">
        <v>-2.9281901661309998E-3</v>
      </c>
      <c r="H26" s="51">
        <v>2.1230289712549999E-3</v>
      </c>
      <c r="I26" s="51">
        <v>4.7270270270000001</v>
      </c>
      <c r="J26" s="51">
        <v>3151868299.3693657</v>
      </c>
      <c r="K26" s="34">
        <v>4.7270000000000003</v>
      </c>
    </row>
    <row r="27" spans="1:47" x14ac:dyDescent="0.2">
      <c r="B27" s="34" t="s">
        <v>108</v>
      </c>
      <c r="C27" s="51">
        <v>3.1844619661600002E-4</v>
      </c>
      <c r="D27" s="51">
        <v>9.2025141930199999E-4</v>
      </c>
      <c r="E27" s="51">
        <v>-1.03531696368E-3</v>
      </c>
      <c r="F27" s="51">
        <v>-2.4095557164400001E-3</v>
      </c>
      <c r="G27" s="51">
        <v>-4.0548779070380004E-3</v>
      </c>
      <c r="H27" s="51">
        <v>3.0401090625669998E-3</v>
      </c>
      <c r="I27" s="51">
        <v>2.6101986749999999</v>
      </c>
      <c r="J27" s="51">
        <v>6575334920.4394131</v>
      </c>
      <c r="K27" s="34">
        <v>2.61</v>
      </c>
    </row>
    <row r="28" spans="1:47" x14ac:dyDescent="0.2">
      <c r="B28" s="34" t="s">
        <v>105</v>
      </c>
      <c r="C28" s="51">
        <v>2.2018450545099999E-4</v>
      </c>
      <c r="D28" s="51">
        <v>6.3934555510100004E-4</v>
      </c>
      <c r="E28" s="51">
        <v>-8.0235657514999995E-4</v>
      </c>
      <c r="F28" s="51">
        <v>-1.940698013641E-3</v>
      </c>
      <c r="G28" s="51">
        <v>-3.1975912861529998E-3</v>
      </c>
      <c r="H28" s="51">
        <v>2.3940850514920001E-3</v>
      </c>
      <c r="I28" s="51">
        <v>5.9923607429999999</v>
      </c>
      <c r="J28" s="51">
        <v>14689879834.446617</v>
      </c>
      <c r="K28" s="34">
        <v>6.22</v>
      </c>
    </row>
    <row r="29" spans="1:47" x14ac:dyDescent="0.2">
      <c r="B29" s="34" t="s">
        <v>104</v>
      </c>
      <c r="C29" s="51">
        <v>4.6997192840000002E-5</v>
      </c>
      <c r="D29" s="51">
        <v>3.2206607284000001E-4</v>
      </c>
      <c r="E29" s="51">
        <v>-4.64901473606E-4</v>
      </c>
      <c r="F29" s="51">
        <v>-1.160505809821E-3</v>
      </c>
      <c r="G29" s="51">
        <v>-2.020861487836E-3</v>
      </c>
      <c r="H29" s="51">
        <v>1.3940132921560001E-3</v>
      </c>
      <c r="I29" s="51">
        <v>8.4017708330000005</v>
      </c>
      <c r="J29" s="51">
        <v>13164350541.355188</v>
      </c>
      <c r="K29" s="34">
        <v>8.4009999999999998</v>
      </c>
    </row>
  </sheetData>
  <sortState xmlns:xlrd2="http://schemas.microsoft.com/office/spreadsheetml/2017/richdata2" ref="B2:I7">
    <sortCondition ref="B2:B7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ED07-E2DD-F740-B2CD-FC3566101777}">
  <sheetPr codeName="Sheet5"/>
  <dimension ref="A1:BI15"/>
  <sheetViews>
    <sheetView topLeftCell="AC1" workbookViewId="0">
      <selection activeCell="AC28" sqref="AC28"/>
    </sheetView>
  </sheetViews>
  <sheetFormatPr defaultColWidth="11.42578125" defaultRowHeight="15" x14ac:dyDescent="0.25"/>
  <cols>
    <col min="1" max="1" width="14" customWidth="1"/>
    <col min="3" max="3" width="13.42578125" customWidth="1"/>
    <col min="6" max="6" width="13" customWidth="1"/>
    <col min="7" max="7" width="10.85546875" style="45"/>
    <col min="8" max="8" width="14.140625" customWidth="1"/>
    <col min="9" max="9" width="10.85546875" style="45"/>
    <col min="10" max="10" width="14.28515625" customWidth="1"/>
    <col min="11" max="11" width="10.85546875" style="45"/>
    <col min="12" max="12" width="11.42578125" customWidth="1"/>
    <col min="14" max="14" width="14.7109375" customWidth="1"/>
    <col min="15" max="15" width="12.28515625" style="45" customWidth="1"/>
    <col min="16" max="16" width="12.85546875" customWidth="1"/>
    <col min="17" max="17" width="10.85546875" style="45"/>
    <col min="18" max="18" width="13.140625" customWidth="1"/>
    <col min="19" max="19" width="14" style="45" bestFit="1" customWidth="1"/>
    <col min="20" max="20" width="13.42578125" customWidth="1"/>
    <col min="21" max="21" width="10.85546875" style="45"/>
    <col min="22" max="22" width="13.42578125" customWidth="1"/>
    <col min="23" max="23" width="10.85546875" style="45"/>
    <col min="24" max="24" width="12.42578125" customWidth="1"/>
    <col min="25" max="27" width="10.85546875" style="45"/>
    <col min="29" max="29" width="27" customWidth="1"/>
    <col min="30" max="30" width="14.28515625" customWidth="1"/>
    <col min="33" max="33" width="12.7109375" customWidth="1"/>
    <col min="41" max="41" width="18" customWidth="1"/>
    <col min="42" max="42" width="12.7109375" customWidth="1"/>
    <col min="53" max="53" width="14.42578125" customWidth="1"/>
    <col min="54" max="54" width="12.85546875" customWidth="1"/>
  </cols>
  <sheetData>
    <row r="1" spans="1:61" s="48" customFormat="1" ht="105.95" customHeight="1" x14ac:dyDescent="0.25">
      <c r="A1" s="48" t="s">
        <v>194</v>
      </c>
      <c r="C1" s="48" t="s">
        <v>158</v>
      </c>
      <c r="D1" s="48" t="s">
        <v>159</v>
      </c>
      <c r="E1" s="48" t="s">
        <v>161</v>
      </c>
      <c r="F1" s="48" t="s">
        <v>158</v>
      </c>
      <c r="G1" s="49" t="s">
        <v>162</v>
      </c>
      <c r="H1" s="48" t="s">
        <v>158</v>
      </c>
      <c r="I1" s="49" t="s">
        <v>163</v>
      </c>
      <c r="J1" s="48" t="s">
        <v>158</v>
      </c>
      <c r="K1" s="49" t="s">
        <v>164</v>
      </c>
      <c r="L1" s="48" t="s">
        <v>158</v>
      </c>
      <c r="M1" s="48" t="s">
        <v>165</v>
      </c>
      <c r="N1" s="48" t="s">
        <v>158</v>
      </c>
      <c r="O1" s="49" t="s">
        <v>166</v>
      </c>
      <c r="P1" s="48" t="s">
        <v>158</v>
      </c>
      <c r="Q1" s="49" t="s">
        <v>167</v>
      </c>
      <c r="R1" s="48" t="s">
        <v>158</v>
      </c>
      <c r="S1" s="49" t="s">
        <v>168</v>
      </c>
      <c r="T1" s="48" t="s">
        <v>158</v>
      </c>
      <c r="U1" s="49" t="s">
        <v>169</v>
      </c>
      <c r="V1" s="48" t="s">
        <v>158</v>
      </c>
      <c r="W1" s="49" t="s">
        <v>170</v>
      </c>
      <c r="X1" s="48" t="s">
        <v>158</v>
      </c>
      <c r="Y1" s="49" t="s">
        <v>171</v>
      </c>
      <c r="Z1" s="49"/>
      <c r="AA1" s="49" t="s">
        <v>193</v>
      </c>
      <c r="AC1" s="48" t="s">
        <v>173</v>
      </c>
      <c r="AD1" s="49" t="s">
        <v>174</v>
      </c>
      <c r="AE1" s="49" t="s">
        <v>175</v>
      </c>
      <c r="AF1" s="49" t="s">
        <v>176</v>
      </c>
      <c r="AG1" s="49" t="s">
        <v>177</v>
      </c>
      <c r="AH1" s="49" t="s">
        <v>178</v>
      </c>
      <c r="AI1" s="49" t="s">
        <v>179</v>
      </c>
      <c r="AJ1" s="49" t="s">
        <v>180</v>
      </c>
      <c r="AK1" s="49" t="s">
        <v>181</v>
      </c>
      <c r="AM1" s="48" t="s">
        <v>195</v>
      </c>
      <c r="AO1" s="48" t="s">
        <v>173</v>
      </c>
      <c r="AP1" s="50" t="s">
        <v>203</v>
      </c>
      <c r="AQ1" s="50" t="s">
        <v>204</v>
      </c>
      <c r="AR1" s="50" t="s">
        <v>205</v>
      </c>
      <c r="AS1" s="50" t="s">
        <v>206</v>
      </c>
      <c r="AT1" s="50" t="s">
        <v>207</v>
      </c>
      <c r="AU1" s="50" t="s">
        <v>208</v>
      </c>
      <c r="AV1" s="50" t="s">
        <v>209</v>
      </c>
      <c r="AW1" s="50" t="s">
        <v>210</v>
      </c>
      <c r="AY1" s="48" t="s">
        <v>196</v>
      </c>
      <c r="BA1" s="48" t="s">
        <v>172</v>
      </c>
      <c r="BB1" s="50" t="s">
        <v>174</v>
      </c>
      <c r="BC1" s="50" t="s">
        <v>175</v>
      </c>
      <c r="BD1" s="50" t="s">
        <v>176</v>
      </c>
      <c r="BE1" s="50" t="s">
        <v>177</v>
      </c>
      <c r="BF1" s="50" t="s">
        <v>178</v>
      </c>
      <c r="BG1" s="50" t="s">
        <v>179</v>
      </c>
      <c r="BH1" s="50" t="s">
        <v>180</v>
      </c>
      <c r="BI1" s="50" t="s">
        <v>181</v>
      </c>
    </row>
    <row r="2" spans="1:61" x14ac:dyDescent="0.25">
      <c r="C2" t="s">
        <v>15</v>
      </c>
      <c r="D2" s="45">
        <v>621727755.66877306</v>
      </c>
      <c r="E2" s="45">
        <v>2306250609.6508069</v>
      </c>
      <c r="F2" t="s">
        <v>15</v>
      </c>
      <c r="G2" s="45">
        <v>13998729.486764906</v>
      </c>
      <c r="H2" t="s">
        <v>15</v>
      </c>
      <c r="I2" s="45">
        <v>8021646.6614060253</v>
      </c>
      <c r="J2" t="s">
        <v>15</v>
      </c>
      <c r="K2" s="47">
        <v>0</v>
      </c>
      <c r="L2" t="s">
        <v>15</v>
      </c>
      <c r="M2" s="46">
        <v>0</v>
      </c>
      <c r="N2" t="s">
        <v>15</v>
      </c>
      <c r="O2" s="45">
        <v>13040934.581751645</v>
      </c>
      <c r="P2" t="s">
        <v>15</v>
      </c>
      <c r="Q2" s="45">
        <v>112417003.86740963</v>
      </c>
      <c r="R2" t="s">
        <v>15</v>
      </c>
      <c r="S2" s="45">
        <v>160575339.37645534</v>
      </c>
      <c r="T2" t="s">
        <v>15</v>
      </c>
      <c r="U2" s="45">
        <v>113163039.62200676</v>
      </c>
      <c r="V2" t="s">
        <v>15</v>
      </c>
      <c r="W2" s="45">
        <v>56256835.990839921</v>
      </c>
      <c r="X2" t="s">
        <v>15</v>
      </c>
      <c r="Y2" s="45">
        <v>51222598.367347226</v>
      </c>
      <c r="AC2" t="s">
        <v>182</v>
      </c>
      <c r="AD2" s="45">
        <v>621727755.66877306</v>
      </c>
      <c r="AE2" s="45">
        <v>46558062.35266684</v>
      </c>
      <c r="AF2" s="45">
        <v>80287750.958862245</v>
      </c>
      <c r="AG2" s="45">
        <v>59774152.50220824</v>
      </c>
      <c r="AH2" s="45">
        <v>0</v>
      </c>
      <c r="AI2" s="45">
        <v>143704757.57413894</v>
      </c>
      <c r="AJ2" s="45">
        <v>113855812.17020723</v>
      </c>
      <c r="AK2" s="45">
        <v>1065908291.2268565</v>
      </c>
      <c r="AO2" t="s">
        <v>182</v>
      </c>
      <c r="AP2" s="45">
        <v>621727755.66877306</v>
      </c>
      <c r="AQ2" s="45">
        <v>46558062.35266684</v>
      </c>
      <c r="AR2" s="45">
        <v>80287750.958862245</v>
      </c>
      <c r="AS2" s="45">
        <v>59774152.50220824</v>
      </c>
      <c r="AT2" s="45">
        <v>0</v>
      </c>
      <c r="AU2" s="45">
        <v>143704757.57413894</v>
      </c>
      <c r="AV2" s="45">
        <v>113855812.17020723</v>
      </c>
      <c r="AW2" s="45">
        <v>1065908291.2268565</v>
      </c>
      <c r="BA2" t="s">
        <v>103</v>
      </c>
      <c r="BB2" s="45">
        <f t="shared" ref="BB2:BI7" si="0">AVERAGE(AP2,AP10)</f>
        <v>310863877.83438653</v>
      </c>
      <c r="BC2" s="45">
        <f t="shared" si="0"/>
        <v>33679217.974136353</v>
      </c>
      <c r="BD2" s="45">
        <f t="shared" si="0"/>
        <v>354980217.6960454</v>
      </c>
      <c r="BE2" s="45">
        <f t="shared" si="0"/>
        <v>46171963.431503266</v>
      </c>
      <c r="BF2" s="45">
        <f t="shared" si="0"/>
        <v>35862570.099817015</v>
      </c>
      <c r="BG2" s="45">
        <f t="shared" si="0"/>
        <v>140531277.51104337</v>
      </c>
      <c r="BH2" s="45">
        <f t="shared" si="0"/>
        <v>118068879.36726455</v>
      </c>
      <c r="BI2" s="45">
        <f t="shared" si="0"/>
        <v>1040158003.9141965</v>
      </c>
    </row>
    <row r="3" spans="1:61" x14ac:dyDescent="0.25">
      <c r="C3" t="s">
        <v>20</v>
      </c>
      <c r="D3" s="45">
        <v>46558062.35266684</v>
      </c>
      <c r="E3" s="45">
        <v>2629875.9090739125</v>
      </c>
      <c r="F3" t="s">
        <v>20</v>
      </c>
      <c r="G3" s="45">
        <v>5223722.7801010562</v>
      </c>
      <c r="H3" t="s">
        <v>20</v>
      </c>
      <c r="I3" s="45">
        <v>1087910.8255735592</v>
      </c>
      <c r="J3" t="s">
        <v>20</v>
      </c>
      <c r="K3" s="45">
        <v>20800373.595605865</v>
      </c>
      <c r="L3" t="s">
        <v>20</v>
      </c>
      <c r="M3">
        <v>5125994.5094600655</v>
      </c>
      <c r="N3" t="s">
        <v>20</v>
      </c>
      <c r="O3" s="45">
        <v>4414732.1134105837</v>
      </c>
      <c r="P3" t="s">
        <v>20</v>
      </c>
      <c r="Q3" s="45">
        <v>8029530.301068671</v>
      </c>
      <c r="R3" t="s">
        <v>20</v>
      </c>
      <c r="S3" s="45">
        <v>1301171.3290317196</v>
      </c>
      <c r="T3" t="s">
        <v>20</v>
      </c>
      <c r="U3" s="45">
        <v>2648839.2680463502</v>
      </c>
      <c r="V3" t="s">
        <v>20</v>
      </c>
      <c r="W3" s="45">
        <v>17357375.596416522</v>
      </c>
      <c r="X3" t="s">
        <v>20</v>
      </c>
      <c r="Y3" s="45">
        <v>919471.74969360861</v>
      </c>
      <c r="AC3" t="s">
        <v>160</v>
      </c>
      <c r="AD3" s="45">
        <v>2306250609.6508069</v>
      </c>
      <c r="AE3" s="45">
        <v>2629875.9090739125</v>
      </c>
      <c r="AF3" s="45">
        <v>25478523.255135868</v>
      </c>
      <c r="AG3" s="45">
        <v>1656609331.7411463</v>
      </c>
      <c r="AH3" s="45">
        <v>0</v>
      </c>
      <c r="AI3" s="45">
        <v>26168650649.205948</v>
      </c>
      <c r="AJ3" s="45">
        <v>19786245.572312843</v>
      </c>
      <c r="AK3" s="45">
        <v>30179405235.334423</v>
      </c>
      <c r="AO3" t="s">
        <v>187</v>
      </c>
      <c r="AP3" s="45">
        <v>13040934.581751645</v>
      </c>
      <c r="AQ3" s="45">
        <v>4414732.1134105837</v>
      </c>
      <c r="AR3" s="45">
        <v>33585326.109042734</v>
      </c>
      <c r="AS3" s="45">
        <v>51663929.806260057</v>
      </c>
      <c r="AT3" s="45">
        <v>0</v>
      </c>
      <c r="AU3" s="45">
        <v>1663900497.4618542</v>
      </c>
      <c r="AV3" s="45">
        <v>27292772.018539947</v>
      </c>
      <c r="AW3" s="45">
        <v>1793898192.0908592</v>
      </c>
      <c r="BA3" t="s">
        <v>120</v>
      </c>
      <c r="BB3" s="45">
        <f t="shared" si="0"/>
        <v>34648885.286295786</v>
      </c>
      <c r="BC3" s="45">
        <f t="shared" si="0"/>
        <v>10886053.854913553</v>
      </c>
      <c r="BD3" s="45">
        <f t="shared" si="0"/>
        <v>21139641.248438582</v>
      </c>
      <c r="BE3" s="45">
        <f t="shared" si="0"/>
        <v>33575710.83093857</v>
      </c>
      <c r="BF3" s="45">
        <f t="shared" si="0"/>
        <v>4709226.3767436501</v>
      </c>
      <c r="BG3" s="45">
        <f t="shared" si="0"/>
        <v>18762815001.209774</v>
      </c>
      <c r="BH3" s="45">
        <f t="shared" si="0"/>
        <v>24949747.939999133</v>
      </c>
      <c r="BI3" s="45">
        <f t="shared" si="0"/>
        <v>18892724266.747101</v>
      </c>
    </row>
    <row r="4" spans="1:61" x14ac:dyDescent="0.25">
      <c r="C4" t="s">
        <v>24</v>
      </c>
      <c r="D4" s="45">
        <v>80287750.958862245</v>
      </c>
      <c r="E4" s="45">
        <v>25478523.255135868</v>
      </c>
      <c r="F4" t="s">
        <v>24</v>
      </c>
      <c r="G4" s="45">
        <v>15065887.120013466</v>
      </c>
      <c r="H4" t="s">
        <v>24</v>
      </c>
      <c r="I4" s="45">
        <v>5506352.0262552053</v>
      </c>
      <c r="J4" t="s">
        <v>24</v>
      </c>
      <c r="K4" s="45">
        <v>629672684.43322849</v>
      </c>
      <c r="L4" t="s">
        <v>24</v>
      </c>
      <c r="M4">
        <v>0</v>
      </c>
      <c r="N4" t="s">
        <v>24</v>
      </c>
      <c r="O4" s="45">
        <v>33585326.109042734</v>
      </c>
      <c r="P4" t="s">
        <v>24</v>
      </c>
      <c r="Q4" s="45">
        <v>6244602.8523559542</v>
      </c>
      <c r="R4" t="s">
        <v>24</v>
      </c>
      <c r="S4" s="45">
        <v>43467599.567832418</v>
      </c>
      <c r="T4" t="s">
        <v>24</v>
      </c>
      <c r="U4" s="45">
        <v>20544391.527291086</v>
      </c>
      <c r="V4" t="s">
        <v>24</v>
      </c>
      <c r="W4" s="45">
        <v>8693956.3878344316</v>
      </c>
      <c r="X4" t="s">
        <v>24</v>
      </c>
      <c r="Y4" s="45">
        <v>8951716.0693866983</v>
      </c>
      <c r="AC4" t="s">
        <v>183</v>
      </c>
      <c r="AD4" s="45">
        <v>13998729.486764906</v>
      </c>
      <c r="AE4" s="45">
        <v>5223722.7801010562</v>
      </c>
      <c r="AF4" s="45">
        <v>15065887.120013466</v>
      </c>
      <c r="AG4" s="45">
        <v>362398847.19567573</v>
      </c>
      <c r="AH4" s="45">
        <v>12751136.035490498</v>
      </c>
      <c r="AI4" s="45">
        <v>12737399356.691914</v>
      </c>
      <c r="AJ4" s="45">
        <v>17512862.045229796</v>
      </c>
      <c r="AK4" s="45">
        <v>13164350541.355188</v>
      </c>
      <c r="AO4" t="s">
        <v>190</v>
      </c>
      <c r="AP4" s="45">
        <v>113163039.62200676</v>
      </c>
      <c r="AQ4" s="45">
        <v>2648839.2680463502</v>
      </c>
      <c r="AR4" s="45">
        <v>20544391.527291086</v>
      </c>
      <c r="AS4" s="45">
        <v>21938496.003149115</v>
      </c>
      <c r="AT4" s="45">
        <v>4346978.1939172149</v>
      </c>
      <c r="AU4" s="45">
        <v>6603046403.0132427</v>
      </c>
      <c r="AV4" s="45">
        <v>190311877.61410379</v>
      </c>
      <c r="AW4" s="45">
        <v>6956000025.2417564</v>
      </c>
      <c r="BA4" t="s">
        <v>107</v>
      </c>
      <c r="BB4" s="45">
        <f t="shared" si="0"/>
        <v>112790021.7447082</v>
      </c>
      <c r="BC4" s="45">
        <f t="shared" si="0"/>
        <v>5339184.7845575102</v>
      </c>
      <c r="BD4" s="45">
        <f t="shared" si="0"/>
        <v>13394497.189823519</v>
      </c>
      <c r="BE4" s="45">
        <f t="shared" si="0"/>
        <v>20650270.435682401</v>
      </c>
      <c r="BF4" s="45">
        <f t="shared" si="0"/>
        <v>15721571.134667262</v>
      </c>
      <c r="BG4" s="45">
        <f t="shared" si="0"/>
        <v>4777122572.31639</v>
      </c>
      <c r="BH4" s="45">
        <f t="shared" si="0"/>
        <v>108916044.69973245</v>
      </c>
      <c r="BI4" s="45">
        <f t="shared" si="0"/>
        <v>5053934162.3055611</v>
      </c>
    </row>
    <row r="5" spans="1:61" x14ac:dyDescent="0.25">
      <c r="C5" t="s">
        <v>28</v>
      </c>
      <c r="D5" s="45">
        <v>59774152.50220824</v>
      </c>
      <c r="E5" s="45">
        <v>1656609331.7411463</v>
      </c>
      <c r="F5" t="s">
        <v>28</v>
      </c>
      <c r="G5" s="45">
        <v>362398847.19567573</v>
      </c>
      <c r="H5" t="s">
        <v>28</v>
      </c>
      <c r="I5" s="45">
        <v>840863.15817711025</v>
      </c>
      <c r="J5" t="s">
        <v>28</v>
      </c>
      <c r="K5" s="45">
        <v>32569774.360798284</v>
      </c>
      <c r="L5" t="s">
        <v>28</v>
      </c>
      <c r="M5">
        <v>17631261.350585222</v>
      </c>
      <c r="N5" t="s">
        <v>28</v>
      </c>
      <c r="O5" s="45">
        <v>51663929.806260057</v>
      </c>
      <c r="P5" t="s">
        <v>28</v>
      </c>
      <c r="Q5" s="45">
        <v>19362044.868215691</v>
      </c>
      <c r="R5" t="s">
        <v>28</v>
      </c>
      <c r="S5" s="45">
        <v>5244338.3082377203</v>
      </c>
      <c r="T5" t="s">
        <v>28</v>
      </c>
      <c r="U5" s="45">
        <v>21938496.003149115</v>
      </c>
      <c r="V5" t="s">
        <v>28</v>
      </c>
      <c r="W5" s="45">
        <v>15487491.855617084</v>
      </c>
      <c r="X5" t="s">
        <v>28</v>
      </c>
      <c r="Y5" s="45">
        <v>4567023.1002956377</v>
      </c>
      <c r="AC5" t="s">
        <v>184</v>
      </c>
      <c r="AD5" s="45">
        <v>8021646.6614060253</v>
      </c>
      <c r="AE5" s="45">
        <v>1087910.8255735592</v>
      </c>
      <c r="AF5" s="45">
        <v>5506352.0262552053</v>
      </c>
      <c r="AG5" s="45">
        <v>840863.15817711025</v>
      </c>
      <c r="AH5" s="45">
        <v>1434502.8039926807</v>
      </c>
      <c r="AI5" s="45">
        <v>14667505391.744059</v>
      </c>
      <c r="AJ5" s="45">
        <v>5483167.2271540919</v>
      </c>
      <c r="AK5" s="45">
        <v>14689879834.446617</v>
      </c>
      <c r="AO5" t="s">
        <v>192</v>
      </c>
      <c r="AP5" s="45">
        <v>51222598.367347226</v>
      </c>
      <c r="AQ5" s="45">
        <v>919471.74969360861</v>
      </c>
      <c r="AR5" s="45">
        <v>8951716.0693866983</v>
      </c>
      <c r="AS5" s="45">
        <v>4567023.1002956377</v>
      </c>
      <c r="AT5" s="45">
        <v>1434502.8039926807</v>
      </c>
      <c r="AU5" s="45">
        <v>2546763257.1407585</v>
      </c>
      <c r="AV5" s="45">
        <v>36815912.801943347</v>
      </c>
      <c r="AW5" s="45">
        <v>2650674482.0334177</v>
      </c>
      <c r="BA5" t="s">
        <v>108</v>
      </c>
      <c r="BB5" s="45">
        <f t="shared" si="0"/>
        <v>105898968.87190127</v>
      </c>
      <c r="BC5" s="45">
        <f t="shared" si="0"/>
        <v>1110321.5393626641</v>
      </c>
      <c r="BD5" s="45">
        <f t="shared" si="0"/>
        <v>26209657.818609558</v>
      </c>
      <c r="BE5" s="45">
        <f t="shared" si="0"/>
        <v>4905680.7042666785</v>
      </c>
      <c r="BF5" s="45">
        <f t="shared" si="0"/>
        <v>6455262.6179670636</v>
      </c>
      <c r="BG5" s="45">
        <f t="shared" si="0"/>
        <v>4445138270.2850227</v>
      </c>
      <c r="BH5" s="45">
        <f t="shared" si="0"/>
        <v>23286539.399285689</v>
      </c>
      <c r="BI5" s="45">
        <f t="shared" si="0"/>
        <v>4613004701.2364159</v>
      </c>
    </row>
    <row r="6" spans="1:61" x14ac:dyDescent="0.25">
      <c r="C6" t="s">
        <v>60</v>
      </c>
      <c r="D6" s="45">
        <v>0</v>
      </c>
      <c r="E6" s="45">
        <v>0</v>
      </c>
      <c r="F6" t="s">
        <v>60</v>
      </c>
      <c r="G6" s="45">
        <v>12751136.035490498</v>
      </c>
      <c r="H6" t="s">
        <v>60</v>
      </c>
      <c r="I6" s="45">
        <v>1434502.8039926807</v>
      </c>
      <c r="J6" t="s">
        <v>60</v>
      </c>
      <c r="K6" s="45">
        <v>71725140.19963403</v>
      </c>
      <c r="L6" t="s">
        <v>60</v>
      </c>
      <c r="M6">
        <v>5977095.0166361695</v>
      </c>
      <c r="N6" t="s">
        <v>60</v>
      </c>
      <c r="O6" s="45">
        <v>0</v>
      </c>
      <c r="P6" t="s">
        <v>60</v>
      </c>
      <c r="Q6" s="45">
        <v>27096164.07541731</v>
      </c>
      <c r="R6" t="s">
        <v>60</v>
      </c>
      <c r="S6" s="45">
        <v>11476022.431941446</v>
      </c>
      <c r="T6" t="s">
        <v>60</v>
      </c>
      <c r="U6" s="45">
        <v>4346978.1939172149</v>
      </c>
      <c r="V6" t="s">
        <v>60</v>
      </c>
      <c r="W6" s="45">
        <v>9418452.7534873001</v>
      </c>
      <c r="X6" t="s">
        <v>60</v>
      </c>
      <c r="Y6" s="45">
        <v>1434502.8039926807</v>
      </c>
      <c r="AC6" t="s">
        <v>185</v>
      </c>
      <c r="AD6" s="45">
        <v>0</v>
      </c>
      <c r="AE6" s="45">
        <v>20800373.595605865</v>
      </c>
      <c r="AF6" s="45">
        <v>629672684.43322849</v>
      </c>
      <c r="AG6" s="45">
        <v>32569774.360798284</v>
      </c>
      <c r="AH6" s="45">
        <v>71725140.19963403</v>
      </c>
      <c r="AI6" s="45">
        <v>137357797.4479478</v>
      </c>
      <c r="AJ6" s="45">
        <v>122281946.56432188</v>
      </c>
      <c r="AK6" s="45">
        <v>1014407716.6015364</v>
      </c>
      <c r="AO6" t="s">
        <v>186</v>
      </c>
      <c r="AP6" s="45">
        <v>0</v>
      </c>
      <c r="AQ6" s="45">
        <v>5125994.5094600655</v>
      </c>
      <c r="AR6" s="45">
        <v>0</v>
      </c>
      <c r="AS6" s="45">
        <v>17631261.350585222</v>
      </c>
      <c r="AT6" s="45">
        <v>5977095.0166361695</v>
      </c>
      <c r="AU6" s="45">
        <v>3440566602.2100015</v>
      </c>
      <c r="AV6" s="45">
        <v>189468629.52444977</v>
      </c>
      <c r="AW6" s="45">
        <v>3658769582.6111326</v>
      </c>
      <c r="BA6" t="s">
        <v>105</v>
      </c>
      <c r="BB6" s="45">
        <f t="shared" si="0"/>
        <v>4010823.3307030126</v>
      </c>
      <c r="BC6" s="45">
        <f t="shared" si="0"/>
        <v>3106952.6675168122</v>
      </c>
      <c r="BD6" s="45">
        <f t="shared" si="0"/>
        <v>2753176.0131276026</v>
      </c>
      <c r="BE6" s="45">
        <f t="shared" si="0"/>
        <v>9236062.2543811668</v>
      </c>
      <c r="BF6" s="45">
        <f t="shared" si="0"/>
        <v>3705798.9103144249</v>
      </c>
      <c r="BG6" s="45">
        <f t="shared" si="0"/>
        <v>9054035996.9770298</v>
      </c>
      <c r="BH6" s="45">
        <f t="shared" si="0"/>
        <v>97475898.375801936</v>
      </c>
      <c r="BI6" s="45">
        <f t="shared" si="0"/>
        <v>9174324708.5288754</v>
      </c>
    </row>
    <row r="7" spans="1:61" x14ac:dyDescent="0.25">
      <c r="C7" t="s">
        <v>30</v>
      </c>
      <c r="D7" s="45">
        <v>143704757.57413894</v>
      </c>
      <c r="E7" s="45">
        <v>26168650649.205948</v>
      </c>
      <c r="F7" t="s">
        <v>30</v>
      </c>
      <c r="G7" s="45">
        <v>12737399356.691914</v>
      </c>
      <c r="H7" t="s">
        <v>30</v>
      </c>
      <c r="I7" s="45">
        <v>14667505391.744059</v>
      </c>
      <c r="J7" t="s">
        <v>30</v>
      </c>
      <c r="K7" s="45">
        <v>137357797.4479478</v>
      </c>
      <c r="L7" t="s">
        <v>30</v>
      </c>
      <c r="M7">
        <v>3440566602.2100015</v>
      </c>
      <c r="N7" t="s">
        <v>30</v>
      </c>
      <c r="O7" s="45">
        <v>1663900497.4618542</v>
      </c>
      <c r="P7" t="s">
        <v>30</v>
      </c>
      <c r="Q7" s="45">
        <v>2951198741.6195369</v>
      </c>
      <c r="R7" t="s">
        <v>30</v>
      </c>
      <c r="S7" s="45">
        <v>6343513283.429287</v>
      </c>
      <c r="T7" t="s">
        <v>30</v>
      </c>
      <c r="U7" s="45">
        <v>6603046403.0132427</v>
      </c>
      <c r="V7" t="s">
        <v>30</v>
      </c>
      <c r="W7" s="45">
        <v>35861729504.957695</v>
      </c>
      <c r="X7" t="s">
        <v>30</v>
      </c>
      <c r="Y7" s="45">
        <v>2546763257.1407585</v>
      </c>
      <c r="AC7" t="s">
        <v>186</v>
      </c>
      <c r="AD7" s="45">
        <v>0</v>
      </c>
      <c r="AE7" s="45">
        <v>5125994.5094600655</v>
      </c>
      <c r="AF7" s="45">
        <v>0</v>
      </c>
      <c r="AG7" s="45">
        <v>17631261.350585222</v>
      </c>
      <c r="AH7" s="45">
        <v>5977095.0166361695</v>
      </c>
      <c r="AI7" s="45">
        <v>3440566602.2100015</v>
      </c>
      <c r="AJ7" s="45">
        <v>189468629.52444977</v>
      </c>
      <c r="AK7" s="45">
        <v>3658769582.6111326</v>
      </c>
      <c r="AO7" t="s">
        <v>160</v>
      </c>
      <c r="AP7" s="45">
        <v>2306250609.6508069</v>
      </c>
      <c r="AQ7" s="45">
        <v>2629875.9090739125</v>
      </c>
      <c r="AR7" s="45">
        <v>25478523.255135868</v>
      </c>
      <c r="AS7" s="45">
        <v>1656609331.7411463</v>
      </c>
      <c r="AT7" s="45">
        <v>0</v>
      </c>
      <c r="AU7" s="45">
        <v>26168650649.205948</v>
      </c>
      <c r="AV7" s="45">
        <v>19786245.572312843</v>
      </c>
      <c r="AW7" s="45">
        <v>30179405235.334423</v>
      </c>
      <c r="BA7" t="s">
        <v>104</v>
      </c>
      <c r="BB7" s="45">
        <f t="shared" si="0"/>
        <v>1160124669.5687859</v>
      </c>
      <c r="BC7" s="45">
        <f t="shared" si="0"/>
        <v>3926799.3445874844</v>
      </c>
      <c r="BD7" s="45">
        <f t="shared" si="0"/>
        <v>20272205.187574666</v>
      </c>
      <c r="BE7" s="45">
        <f t="shared" si="0"/>
        <v>1009504089.468411</v>
      </c>
      <c r="BF7" s="45">
        <f t="shared" si="0"/>
        <v>6375568.017745249</v>
      </c>
      <c r="BG7" s="45">
        <f t="shared" si="0"/>
        <v>19453025002.948929</v>
      </c>
      <c r="BH7" s="45">
        <f t="shared" si="0"/>
        <v>18649553.80877132</v>
      </c>
      <c r="BI7" s="45">
        <f t="shared" si="0"/>
        <v>21671877888.344807</v>
      </c>
    </row>
    <row r="8" spans="1:61" x14ac:dyDescent="0.25">
      <c r="C8" t="s">
        <v>32</v>
      </c>
      <c r="D8" s="45">
        <v>113855812.17020723</v>
      </c>
      <c r="E8" s="45">
        <v>19786245.572312843</v>
      </c>
      <c r="F8" t="s">
        <v>32</v>
      </c>
      <c r="G8" s="45">
        <v>17512862.045229796</v>
      </c>
      <c r="H8" t="s">
        <v>32</v>
      </c>
      <c r="I8" s="45">
        <v>5483167.2271540919</v>
      </c>
      <c r="J8" t="s">
        <v>32</v>
      </c>
      <c r="K8" s="45">
        <v>122281946.56432188</v>
      </c>
      <c r="L8" t="s">
        <v>32</v>
      </c>
      <c r="M8">
        <v>189468629.52444977</v>
      </c>
      <c r="N8" t="s">
        <v>32</v>
      </c>
      <c r="O8" s="45">
        <v>27292772.018539947</v>
      </c>
      <c r="P8" t="s">
        <v>32</v>
      </c>
      <c r="Q8" s="45">
        <v>27520211.785361111</v>
      </c>
      <c r="R8" t="s">
        <v>32</v>
      </c>
      <c r="S8" s="45">
        <v>9757165.9966280274</v>
      </c>
      <c r="T8" t="s">
        <v>32</v>
      </c>
      <c r="U8" s="45">
        <v>190311877.61410379</v>
      </c>
      <c r="V8" t="s">
        <v>32</v>
      </c>
      <c r="W8" s="45">
        <v>22606723.861458316</v>
      </c>
      <c r="X8" t="s">
        <v>32</v>
      </c>
      <c r="Y8" s="45">
        <v>36815912.801943347</v>
      </c>
      <c r="AC8" t="s">
        <v>187</v>
      </c>
      <c r="AD8" s="45">
        <v>13040934.581751645</v>
      </c>
      <c r="AE8" s="45">
        <v>4414732.1134105837</v>
      </c>
      <c r="AF8" s="45">
        <v>33585326.109042734</v>
      </c>
      <c r="AG8" s="45">
        <v>51663929.806260057</v>
      </c>
      <c r="AH8" s="45">
        <v>0</v>
      </c>
      <c r="AI8" s="45">
        <v>1663900497.4618542</v>
      </c>
      <c r="AJ8" s="45">
        <v>27292772.018539947</v>
      </c>
      <c r="AK8" s="45">
        <v>1793898192.0908592</v>
      </c>
      <c r="AP8" s="45"/>
      <c r="AQ8" s="45"/>
      <c r="AR8" s="45"/>
      <c r="AS8" s="45"/>
      <c r="AT8" s="45"/>
      <c r="AU8" s="45"/>
      <c r="AV8" s="45"/>
      <c r="AW8" s="45"/>
    </row>
    <row r="9" spans="1:61" ht="60" x14ac:dyDescent="0.25">
      <c r="C9" t="s">
        <v>37</v>
      </c>
      <c r="D9" s="45">
        <v>1065908291.2268565</v>
      </c>
      <c r="E9" s="45">
        <v>30179405235.334423</v>
      </c>
      <c r="F9" t="s">
        <v>37</v>
      </c>
      <c r="G9" s="45">
        <v>13164350541.355188</v>
      </c>
      <c r="H9" t="s">
        <v>37</v>
      </c>
      <c r="I9" s="45">
        <v>14689879834.446617</v>
      </c>
      <c r="J9" t="s">
        <v>37</v>
      </c>
      <c r="K9" s="45">
        <v>1014407716.6015364</v>
      </c>
      <c r="L9" t="s">
        <v>37</v>
      </c>
      <c r="M9">
        <v>3658769582.6111326</v>
      </c>
      <c r="N9" t="s">
        <v>37</v>
      </c>
      <c r="O9" s="45">
        <v>1793898192.0908592</v>
      </c>
      <c r="P9" t="s">
        <v>37</v>
      </c>
      <c r="Q9" s="45">
        <v>3151868299.3693657</v>
      </c>
      <c r="R9" t="s">
        <v>37</v>
      </c>
      <c r="S9" s="45">
        <v>6575334920.4394131</v>
      </c>
      <c r="T9" t="s">
        <v>37</v>
      </c>
      <c r="U9" s="45">
        <v>6956000025.2417564</v>
      </c>
      <c r="V9" t="s">
        <v>37</v>
      </c>
      <c r="W9" s="45">
        <v>35991550341.403343</v>
      </c>
      <c r="X9" t="s">
        <v>37</v>
      </c>
      <c r="Y9" s="45">
        <v>2650674482.0334177</v>
      </c>
      <c r="AC9" t="s">
        <v>188</v>
      </c>
      <c r="AD9" s="45">
        <v>112417003.86740963</v>
      </c>
      <c r="AE9" s="45">
        <v>8029530.301068671</v>
      </c>
      <c r="AF9" s="45">
        <v>6244602.8523559542</v>
      </c>
      <c r="AG9" s="45">
        <v>19362044.868215691</v>
      </c>
      <c r="AH9" s="45">
        <v>27096164.07541731</v>
      </c>
      <c r="AI9" s="45">
        <v>2951198741.6195369</v>
      </c>
      <c r="AJ9" s="45">
        <v>27520211.785361111</v>
      </c>
      <c r="AK9" s="45">
        <v>3151868299.3693657</v>
      </c>
      <c r="AP9" s="50" t="s">
        <v>211</v>
      </c>
      <c r="AQ9" s="50" t="s">
        <v>212</v>
      </c>
      <c r="AR9" s="50" t="s">
        <v>213</v>
      </c>
      <c r="AS9" s="50" t="s">
        <v>214</v>
      </c>
      <c r="AT9" s="50" t="s">
        <v>215</v>
      </c>
      <c r="AU9" s="50" t="s">
        <v>216</v>
      </c>
      <c r="AV9" s="50" t="s">
        <v>217</v>
      </c>
      <c r="AW9" s="50" t="s">
        <v>218</v>
      </c>
    </row>
    <row r="10" spans="1:61" x14ac:dyDescent="0.25">
      <c r="AC10" t="s">
        <v>189</v>
      </c>
      <c r="AD10" s="45">
        <v>160575339.37645534</v>
      </c>
      <c r="AE10" s="45">
        <v>1301171.3290317196</v>
      </c>
      <c r="AF10" s="45">
        <v>43467599.567832418</v>
      </c>
      <c r="AG10" s="45">
        <v>5244338.3082377203</v>
      </c>
      <c r="AH10" s="45">
        <v>11476022.431941446</v>
      </c>
      <c r="AI10" s="45">
        <v>6343513283.429287</v>
      </c>
      <c r="AJ10" s="45">
        <v>9757165.9966280274</v>
      </c>
      <c r="AK10" s="45">
        <v>6575334920.4394131</v>
      </c>
      <c r="AO10" t="s">
        <v>185</v>
      </c>
      <c r="AP10" s="45">
        <v>0</v>
      </c>
      <c r="AQ10" s="45">
        <v>20800373.595605865</v>
      </c>
      <c r="AR10" s="45">
        <v>629672684.43322849</v>
      </c>
      <c r="AS10" s="45">
        <v>32569774.360798284</v>
      </c>
      <c r="AT10" s="45">
        <v>71725140.19963403</v>
      </c>
      <c r="AU10" s="45">
        <v>137357797.4479478</v>
      </c>
      <c r="AV10" s="45">
        <v>122281946.56432188</v>
      </c>
      <c r="AW10" s="45">
        <v>1014407716.6015364</v>
      </c>
    </row>
    <row r="11" spans="1:61" x14ac:dyDescent="0.25">
      <c r="AC11" t="s">
        <v>190</v>
      </c>
      <c r="AD11" s="45">
        <v>113163039.62200676</v>
      </c>
      <c r="AE11" s="45">
        <v>2648839.2680463502</v>
      </c>
      <c r="AF11" s="45">
        <v>20544391.527291086</v>
      </c>
      <c r="AG11" s="45">
        <v>21938496.003149115</v>
      </c>
      <c r="AH11" s="45">
        <v>4346978.1939172149</v>
      </c>
      <c r="AI11" s="45">
        <v>6603046403.0132427</v>
      </c>
      <c r="AJ11" s="45">
        <v>190311877.61410379</v>
      </c>
      <c r="AK11" s="45">
        <v>6956000025.2417564</v>
      </c>
      <c r="AO11" t="s">
        <v>191</v>
      </c>
      <c r="AP11" s="45">
        <v>56256835.990839921</v>
      </c>
      <c r="AQ11" s="45">
        <v>17357375.596416522</v>
      </c>
      <c r="AR11" s="45">
        <v>8693956.3878344316</v>
      </c>
      <c r="AS11" s="45">
        <v>15487491.855617084</v>
      </c>
      <c r="AT11" s="45">
        <v>9418452.7534873001</v>
      </c>
      <c r="AU11" s="45">
        <v>35861729504.957695</v>
      </c>
      <c r="AV11" s="45">
        <v>22606723.861458316</v>
      </c>
      <c r="AW11" s="45">
        <v>35991550341.403343</v>
      </c>
    </row>
    <row r="12" spans="1:61" x14ac:dyDescent="0.25">
      <c r="AC12" t="s">
        <v>191</v>
      </c>
      <c r="AD12" s="45">
        <v>56256835.990839921</v>
      </c>
      <c r="AE12" s="45">
        <v>17357375.596416522</v>
      </c>
      <c r="AF12" s="45">
        <v>8693956.3878344316</v>
      </c>
      <c r="AG12" s="45">
        <v>15487491.855617084</v>
      </c>
      <c r="AH12" s="45">
        <v>9418452.7534873001</v>
      </c>
      <c r="AI12" s="45">
        <v>35861729504.957695</v>
      </c>
      <c r="AJ12" s="45">
        <v>22606723.861458316</v>
      </c>
      <c r="AK12" s="45">
        <v>35991550341.403343</v>
      </c>
      <c r="AO12" t="s">
        <v>188</v>
      </c>
      <c r="AP12" s="45">
        <v>112417003.86740963</v>
      </c>
      <c r="AQ12" s="45">
        <v>8029530.301068671</v>
      </c>
      <c r="AR12" s="45">
        <v>6244602.8523559542</v>
      </c>
      <c r="AS12" s="45">
        <v>19362044.868215691</v>
      </c>
      <c r="AT12" s="45">
        <v>27096164.07541731</v>
      </c>
      <c r="AU12" s="45">
        <v>2951198741.6195369</v>
      </c>
      <c r="AV12" s="45">
        <v>27520211.785361111</v>
      </c>
      <c r="AW12" s="45">
        <v>3151868299.3693657</v>
      </c>
    </row>
    <row r="13" spans="1:61" x14ac:dyDescent="0.25">
      <c r="AC13" t="s">
        <v>192</v>
      </c>
      <c r="AD13" s="45">
        <v>51222598.367347226</v>
      </c>
      <c r="AE13" s="45">
        <v>919471.74969360861</v>
      </c>
      <c r="AF13" s="45">
        <v>8951716.0693866983</v>
      </c>
      <c r="AG13" s="45">
        <v>4567023.1002956377</v>
      </c>
      <c r="AH13" s="45">
        <v>1434502.8039926807</v>
      </c>
      <c r="AI13" s="45">
        <v>2546763257.1407585</v>
      </c>
      <c r="AJ13" s="45">
        <v>36815912.801943347</v>
      </c>
      <c r="AK13" s="45">
        <v>2650674482.0334177</v>
      </c>
      <c r="AO13" t="s">
        <v>189</v>
      </c>
      <c r="AP13" s="45">
        <v>160575339.37645534</v>
      </c>
      <c r="AQ13" s="45">
        <v>1301171.3290317196</v>
      </c>
      <c r="AR13" s="45">
        <v>43467599.567832418</v>
      </c>
      <c r="AS13" s="45">
        <v>5244338.3082377203</v>
      </c>
      <c r="AT13" s="45">
        <v>11476022.431941446</v>
      </c>
      <c r="AU13" s="45">
        <v>6343513283.429287</v>
      </c>
      <c r="AV13" s="45">
        <v>9757165.9966280274</v>
      </c>
      <c r="AW13" s="45">
        <v>6575334920.4394131</v>
      </c>
    </row>
    <row r="14" spans="1:61" x14ac:dyDescent="0.25">
      <c r="AO14" t="s">
        <v>184</v>
      </c>
      <c r="AP14" s="45">
        <v>8021646.6614060253</v>
      </c>
      <c r="AQ14" s="45">
        <v>1087910.8255735592</v>
      </c>
      <c r="AR14" s="45">
        <v>5506352.0262552053</v>
      </c>
      <c r="AS14" s="45">
        <v>840863.15817711025</v>
      </c>
      <c r="AT14" s="45">
        <v>1434502.8039926807</v>
      </c>
      <c r="AU14" s="45">
        <v>14667505391.744059</v>
      </c>
      <c r="AV14" s="45">
        <v>5483167.2271540919</v>
      </c>
      <c r="AW14" s="45">
        <v>14689879834.446617</v>
      </c>
    </row>
    <row r="15" spans="1:61" x14ac:dyDescent="0.25">
      <c r="AO15" t="s">
        <v>183</v>
      </c>
      <c r="AP15" s="45">
        <v>13998729.486764906</v>
      </c>
      <c r="AQ15" s="45">
        <v>5223722.7801010562</v>
      </c>
      <c r="AR15" s="45">
        <v>15065887.120013466</v>
      </c>
      <c r="AS15" s="45">
        <v>362398847.19567573</v>
      </c>
      <c r="AT15" s="45">
        <v>12751136.035490498</v>
      </c>
      <c r="AU15" s="45">
        <v>12737399356.691914</v>
      </c>
      <c r="AV15" s="45">
        <v>17512862.045229796</v>
      </c>
      <c r="AW15" s="45">
        <v>13164350541.355188</v>
      </c>
    </row>
  </sheetData>
  <sortState xmlns:xlrd2="http://schemas.microsoft.com/office/spreadsheetml/2017/richdata2" ref="AO2:AW9">
    <sortCondition ref="AO2:AO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8660E-B10D-46E2-9448-AEBB25029BCD}">
  <sheetPr codeName="Sheet6"/>
  <dimension ref="A1:AJ211"/>
  <sheetViews>
    <sheetView zoomScale="40" zoomScaleNormal="40" workbookViewId="0">
      <pane ySplit="2" topLeftCell="A3" activePane="bottomLeft" state="frozen"/>
      <selection pane="bottomLeft" activeCell="N39" sqref="N39:AH65"/>
    </sheetView>
  </sheetViews>
  <sheetFormatPr defaultColWidth="9.140625" defaultRowHeight="13.5" x14ac:dyDescent="0.25"/>
  <cols>
    <col min="1" max="1" width="17.28515625" style="12" bestFit="1" customWidth="1"/>
    <col min="2" max="2" width="13.140625" style="12" customWidth="1"/>
    <col min="3" max="3" width="38" style="7" bestFit="1" customWidth="1"/>
    <col min="4" max="4" width="20.85546875" style="19" bestFit="1" customWidth="1"/>
    <col min="5" max="5" width="6.85546875" style="19" bestFit="1" customWidth="1"/>
    <col min="6" max="6" width="9" style="19" bestFit="1" customWidth="1"/>
    <col min="7" max="7" width="18.42578125" style="20" customWidth="1"/>
    <col min="8" max="8" width="12.140625" style="20" bestFit="1" customWidth="1"/>
    <col min="9" max="9" width="18.140625" style="14" bestFit="1" customWidth="1"/>
    <col min="10" max="10" width="16" style="14" bestFit="1" customWidth="1"/>
    <col min="11" max="11" width="16" style="15" bestFit="1" customWidth="1"/>
    <col min="12" max="12" width="9.140625" style="11"/>
    <col min="13" max="13" width="12.140625" style="11" bestFit="1" customWidth="1"/>
    <col min="14" max="14" width="25.7109375" style="11" customWidth="1"/>
    <col min="15" max="15" width="23" style="11" customWidth="1"/>
    <col min="16" max="16" width="9.140625" style="11"/>
    <col min="17" max="17" width="13.7109375" style="11" customWidth="1"/>
    <col min="18" max="18" width="15.28515625" style="11" customWidth="1"/>
    <col min="19" max="19" width="18.28515625" style="11" customWidth="1"/>
    <col min="20" max="16384" width="9.140625" style="11"/>
  </cols>
  <sheetData>
    <row r="1" spans="1:36" s="6" customFormat="1" ht="27" x14ac:dyDescent="0.25">
      <c r="A1" s="1" t="s">
        <v>5</v>
      </c>
      <c r="B1" s="2" t="s">
        <v>6</v>
      </c>
      <c r="C1" s="1" t="s">
        <v>7</v>
      </c>
      <c r="D1" s="1" t="s">
        <v>8</v>
      </c>
      <c r="E1" s="1" t="s">
        <v>9</v>
      </c>
      <c r="F1" s="3" t="s">
        <v>10</v>
      </c>
      <c r="G1" s="4" t="s">
        <v>11</v>
      </c>
      <c r="H1" s="5" t="s">
        <v>12</v>
      </c>
    </row>
    <row r="2" spans="1:36" x14ac:dyDescent="0.25">
      <c r="A2" s="7" t="s">
        <v>13</v>
      </c>
      <c r="B2" s="8">
        <v>44569</v>
      </c>
      <c r="C2" s="9" t="s">
        <v>14</v>
      </c>
      <c r="D2" s="9" t="s">
        <v>15</v>
      </c>
      <c r="E2" s="7">
        <v>2</v>
      </c>
      <c r="F2" s="10">
        <v>257560.15576962489</v>
      </c>
      <c r="G2" s="10">
        <v>23471777.070442691</v>
      </c>
      <c r="H2" s="7"/>
      <c r="I2" s="11"/>
      <c r="J2" s="11"/>
      <c r="K2" s="11"/>
    </row>
    <row r="3" spans="1:36" x14ac:dyDescent="0.25">
      <c r="A3" s="7" t="s">
        <v>13</v>
      </c>
      <c r="B3" s="8">
        <v>44569</v>
      </c>
      <c r="C3" s="12" t="s">
        <v>16</v>
      </c>
      <c r="D3" s="12" t="s">
        <v>15</v>
      </c>
      <c r="E3" s="7">
        <v>2</v>
      </c>
      <c r="F3" s="10">
        <v>257560.15576962489</v>
      </c>
      <c r="G3" s="10">
        <v>9241149.1298497282</v>
      </c>
      <c r="H3" s="7"/>
      <c r="I3" s="13"/>
      <c r="J3" s="13"/>
      <c r="K3" s="13"/>
    </row>
    <row r="4" spans="1:36" x14ac:dyDescent="0.25">
      <c r="A4" s="7" t="s">
        <v>13</v>
      </c>
      <c r="B4" s="8">
        <v>44569</v>
      </c>
      <c r="C4" s="9" t="s">
        <v>17</v>
      </c>
      <c r="D4" s="9" t="s">
        <v>15</v>
      </c>
      <c r="E4" s="7">
        <v>3</v>
      </c>
      <c r="F4" s="10">
        <v>386340.23365443735</v>
      </c>
      <c r="G4" s="10">
        <v>22413914.995695833</v>
      </c>
      <c r="H4" s="7"/>
      <c r="I4" s="13"/>
      <c r="J4" s="13"/>
      <c r="K4" s="13"/>
    </row>
    <row r="5" spans="1:36" x14ac:dyDescent="0.25">
      <c r="A5" s="7" t="s">
        <v>13</v>
      </c>
      <c r="B5" s="8">
        <v>44569</v>
      </c>
      <c r="C5" s="12" t="s">
        <v>18</v>
      </c>
      <c r="D5" s="12" t="s">
        <v>15</v>
      </c>
      <c r="E5" s="7">
        <v>44</v>
      </c>
      <c r="F5" s="10">
        <v>5666323.4269317472</v>
      </c>
      <c r="G5" s="10">
        <v>566600914.47278476</v>
      </c>
      <c r="H5" s="7"/>
      <c r="I5" s="11"/>
      <c r="J5" s="11"/>
      <c r="K5" s="11"/>
    </row>
    <row r="6" spans="1:36" x14ac:dyDescent="0.25">
      <c r="A6" s="7" t="s">
        <v>13</v>
      </c>
      <c r="B6" s="8">
        <v>44569</v>
      </c>
      <c r="C6" s="9" t="s">
        <v>19</v>
      </c>
      <c r="D6" s="9" t="s">
        <v>20</v>
      </c>
      <c r="E6" s="7">
        <v>33</v>
      </c>
      <c r="F6" s="10">
        <v>4249742.5701988107</v>
      </c>
      <c r="G6" s="10">
        <v>15262359.592076587</v>
      </c>
      <c r="H6" s="7"/>
      <c r="I6" s="11"/>
      <c r="J6" s="11"/>
      <c r="K6" s="11"/>
      <c r="M6" s="73"/>
      <c r="N6" s="73"/>
      <c r="O6" s="7"/>
      <c r="P6" s="7"/>
      <c r="Q6" s="74" t="s">
        <v>57</v>
      </c>
      <c r="R6" s="74"/>
      <c r="S6" s="74" t="s">
        <v>64</v>
      </c>
      <c r="T6" s="74"/>
      <c r="U6" s="75" t="s">
        <v>67</v>
      </c>
      <c r="V6" s="75"/>
      <c r="W6" s="74" t="s">
        <v>72</v>
      </c>
      <c r="X6" s="74"/>
      <c r="Y6" s="74" t="s">
        <v>77</v>
      </c>
      <c r="Z6" s="74"/>
      <c r="AA6" s="73" t="s">
        <v>82</v>
      </c>
      <c r="AB6" s="73"/>
      <c r="AC6" s="75" t="s">
        <v>88</v>
      </c>
      <c r="AD6" s="75"/>
      <c r="AE6" s="76" t="s">
        <v>94</v>
      </c>
      <c r="AF6" s="76"/>
      <c r="AG6" s="74" t="s">
        <v>96</v>
      </c>
      <c r="AH6" s="74"/>
      <c r="AI6" s="74" t="s">
        <v>101</v>
      </c>
      <c r="AJ6" s="74"/>
    </row>
    <row r="7" spans="1:36" ht="15" x14ac:dyDescent="0.25">
      <c r="A7" s="7" t="s">
        <v>13</v>
      </c>
      <c r="B7" s="8">
        <v>44569</v>
      </c>
      <c r="C7" s="12" t="s">
        <v>21</v>
      </c>
      <c r="D7" s="12" t="s">
        <v>20</v>
      </c>
      <c r="E7" s="7">
        <v>4</v>
      </c>
      <c r="F7" s="10">
        <v>515120.31153924979</v>
      </c>
      <c r="G7" s="10">
        <v>31295702.760590255</v>
      </c>
      <c r="H7" s="73" t="s">
        <v>22</v>
      </c>
      <c r="I7" s="73"/>
      <c r="J7" s="11"/>
      <c r="K7" s="11"/>
      <c r="M7" s="44" t="s">
        <v>158</v>
      </c>
      <c r="N7" s="44" t="s">
        <v>159</v>
      </c>
      <c r="O7" s="44" t="s">
        <v>161</v>
      </c>
      <c r="P7" s="44"/>
      <c r="Q7" s="44" t="s">
        <v>158</v>
      </c>
      <c r="R7" s="44" t="s">
        <v>162</v>
      </c>
      <c r="S7" s="38" t="s">
        <v>25</v>
      </c>
      <c r="T7" s="11" t="s">
        <v>65</v>
      </c>
      <c r="U7" s="38" t="s">
        <v>25</v>
      </c>
      <c r="V7" s="11" t="s">
        <v>68</v>
      </c>
      <c r="W7" s="38" t="s">
        <v>25</v>
      </c>
      <c r="X7" s="11" t="s">
        <v>74</v>
      </c>
      <c r="Y7" s="38" t="s">
        <v>25</v>
      </c>
      <c r="Z7" s="11" t="s">
        <v>78</v>
      </c>
      <c r="AA7" s="38" t="s">
        <v>25</v>
      </c>
      <c r="AB7" s="11" t="s">
        <v>84</v>
      </c>
      <c r="AC7" s="38" t="s">
        <v>25</v>
      </c>
      <c r="AD7" s="11" t="s">
        <v>90</v>
      </c>
      <c r="AE7" s="38" t="s">
        <v>25</v>
      </c>
      <c r="AF7" s="11" t="s">
        <v>95</v>
      </c>
      <c r="AG7" s="38" t="s">
        <v>25</v>
      </c>
      <c r="AH7" s="11" t="s">
        <v>98</v>
      </c>
      <c r="AI7" s="38" t="s">
        <v>25</v>
      </c>
      <c r="AJ7" s="11" t="s">
        <v>102</v>
      </c>
    </row>
    <row r="8" spans="1:36" ht="15" x14ac:dyDescent="0.25">
      <c r="A8" s="7" t="s">
        <v>13</v>
      </c>
      <c r="B8" s="8">
        <v>44569</v>
      </c>
      <c r="C8" s="9" t="s">
        <v>23</v>
      </c>
      <c r="D8" s="9" t="s">
        <v>24</v>
      </c>
      <c r="E8" s="7">
        <v>6</v>
      </c>
      <c r="F8" s="10">
        <v>772680.46730887471</v>
      </c>
      <c r="G8" s="10">
        <v>80287750.958862245</v>
      </c>
      <c r="H8" s="41" t="s">
        <v>25</v>
      </c>
      <c r="I8" t="s">
        <v>26</v>
      </c>
      <c r="M8" t="s">
        <v>15</v>
      </c>
      <c r="N8">
        <v>621727755.66877306</v>
      </c>
      <c r="O8">
        <v>2306250609.6508069</v>
      </c>
      <c r="P8"/>
      <c r="Q8" t="s">
        <v>15</v>
      </c>
      <c r="R8">
        <v>13998729.486764906</v>
      </c>
      <c r="S8" s="16" t="s">
        <v>30</v>
      </c>
      <c r="T8" s="11">
        <v>14667505391.744059</v>
      </c>
      <c r="U8" s="16" t="s">
        <v>24</v>
      </c>
      <c r="V8" s="11">
        <v>629672684.43322849</v>
      </c>
      <c r="W8" s="16" t="s">
        <v>30</v>
      </c>
      <c r="X8" s="11">
        <v>3440566602.2100015</v>
      </c>
      <c r="Y8" s="16" t="s">
        <v>30</v>
      </c>
      <c r="Z8" s="11">
        <v>1663900497.4618542</v>
      </c>
      <c r="AA8" s="16" t="s">
        <v>30</v>
      </c>
      <c r="AB8" s="11">
        <v>2951198741.6195369</v>
      </c>
      <c r="AC8" s="16" t="s">
        <v>30</v>
      </c>
      <c r="AD8" s="11">
        <v>6343513283.429287</v>
      </c>
      <c r="AE8" s="16" t="s">
        <v>30</v>
      </c>
      <c r="AF8" s="11">
        <v>6603046403.0132427</v>
      </c>
      <c r="AG8" s="16" t="s">
        <v>30</v>
      </c>
      <c r="AH8" s="11">
        <v>35861729504.957695</v>
      </c>
      <c r="AI8" s="16" t="s">
        <v>30</v>
      </c>
      <c r="AJ8" s="11">
        <v>2546763257.1407585</v>
      </c>
    </row>
    <row r="9" spans="1:36" ht="15" x14ac:dyDescent="0.25">
      <c r="A9" s="7" t="s">
        <v>13</v>
      </c>
      <c r="B9" s="8">
        <v>44569</v>
      </c>
      <c r="C9" s="9" t="s">
        <v>27</v>
      </c>
      <c r="D9" s="9" t="s">
        <v>28</v>
      </c>
      <c r="E9" s="7">
        <v>85</v>
      </c>
      <c r="F9" s="10">
        <v>10946306.620209057</v>
      </c>
      <c r="G9" s="10">
        <v>4178240.1009203824</v>
      </c>
      <c r="H9" s="42" t="s">
        <v>15</v>
      </c>
      <c r="I9" s="43">
        <v>621727755.66877306</v>
      </c>
      <c r="M9" t="s">
        <v>20</v>
      </c>
      <c r="N9">
        <v>46558062.35266684</v>
      </c>
      <c r="O9">
        <v>2629875.9090739125</v>
      </c>
      <c r="P9"/>
      <c r="Q9" t="s">
        <v>20</v>
      </c>
      <c r="R9">
        <v>5223722.7801010562</v>
      </c>
      <c r="S9" s="16" t="s">
        <v>15</v>
      </c>
      <c r="T9" s="11">
        <v>8021646.6614060253</v>
      </c>
      <c r="U9" s="16" t="s">
        <v>30</v>
      </c>
      <c r="V9" s="11">
        <v>137357797.4479478</v>
      </c>
      <c r="W9" s="16" t="s">
        <v>32</v>
      </c>
      <c r="X9" s="11">
        <v>189468629.52444977</v>
      </c>
      <c r="Y9" s="16" t="s">
        <v>28</v>
      </c>
      <c r="Z9" s="11">
        <v>51663929.806260057</v>
      </c>
      <c r="AA9" s="16" t="s">
        <v>15</v>
      </c>
      <c r="AB9" s="11">
        <v>112417003.86740963</v>
      </c>
      <c r="AC9" s="16" t="s">
        <v>15</v>
      </c>
      <c r="AD9" s="11">
        <v>160575339.37645534</v>
      </c>
      <c r="AE9" s="16" t="s">
        <v>32</v>
      </c>
      <c r="AF9" s="11">
        <v>190311877.61410379</v>
      </c>
      <c r="AG9" s="16" t="s">
        <v>15</v>
      </c>
      <c r="AH9" s="11">
        <v>56256835.990839921</v>
      </c>
      <c r="AI9" s="16" t="s">
        <v>15</v>
      </c>
      <c r="AJ9" s="11">
        <v>51222598.367347226</v>
      </c>
    </row>
    <row r="10" spans="1:36" ht="15" x14ac:dyDescent="0.25">
      <c r="A10" s="7" t="s">
        <v>13</v>
      </c>
      <c r="B10" s="8">
        <v>44569</v>
      </c>
      <c r="C10" s="9" t="s">
        <v>29</v>
      </c>
      <c r="D10" s="9" t="s">
        <v>28</v>
      </c>
      <c r="E10" s="7">
        <v>4</v>
      </c>
      <c r="F10" s="10">
        <v>515120.31153924979</v>
      </c>
      <c r="G10" s="10">
        <v>1849982.9808577681</v>
      </c>
      <c r="H10" s="42" t="s">
        <v>30</v>
      </c>
      <c r="I10" s="43">
        <v>143704757.57413894</v>
      </c>
      <c r="M10" t="s">
        <v>24</v>
      </c>
      <c r="N10">
        <v>80287750.958862245</v>
      </c>
      <c r="O10">
        <v>25478523.255135868</v>
      </c>
      <c r="P10"/>
      <c r="Q10" t="s">
        <v>24</v>
      </c>
      <c r="R10">
        <v>15065887.120013466</v>
      </c>
      <c r="S10" s="16" t="s">
        <v>24</v>
      </c>
      <c r="T10" s="11">
        <v>5506352.0262552053</v>
      </c>
      <c r="U10" s="16" t="s">
        <v>32</v>
      </c>
      <c r="V10" s="11">
        <v>122281946.56432188</v>
      </c>
      <c r="W10" s="16" t="s">
        <v>28</v>
      </c>
      <c r="X10" s="11">
        <v>17631261.350585222</v>
      </c>
      <c r="Y10" s="16" t="s">
        <v>24</v>
      </c>
      <c r="Z10" s="11">
        <v>33585326.109042734</v>
      </c>
      <c r="AA10" s="16" t="s">
        <v>32</v>
      </c>
      <c r="AB10" s="11">
        <v>27520211.785361111</v>
      </c>
      <c r="AC10" s="16" t="s">
        <v>24</v>
      </c>
      <c r="AD10" s="11">
        <v>43467599.567832418</v>
      </c>
      <c r="AE10" s="16" t="s">
        <v>15</v>
      </c>
      <c r="AF10" s="11">
        <v>113163039.62200676</v>
      </c>
      <c r="AG10" s="16" t="s">
        <v>32</v>
      </c>
      <c r="AH10" s="11">
        <v>22606723.861458316</v>
      </c>
      <c r="AI10" s="16" t="s">
        <v>32</v>
      </c>
      <c r="AJ10" s="11">
        <v>36815912.801943347</v>
      </c>
    </row>
    <row r="11" spans="1:36" ht="15" x14ac:dyDescent="0.25">
      <c r="A11" s="7" t="s">
        <v>13</v>
      </c>
      <c r="B11" s="8">
        <v>44569</v>
      </c>
      <c r="C11" s="9" t="s">
        <v>31</v>
      </c>
      <c r="D11" s="9" t="s">
        <v>28</v>
      </c>
      <c r="E11" s="7">
        <v>196</v>
      </c>
      <c r="F11" s="10">
        <v>25240895.265423238</v>
      </c>
      <c r="G11" s="10">
        <v>9634530.1150634699</v>
      </c>
      <c r="H11" s="42" t="s">
        <v>32</v>
      </c>
      <c r="I11" s="43">
        <v>113855812.17020723</v>
      </c>
      <c r="M11" t="s">
        <v>28</v>
      </c>
      <c r="N11">
        <v>59774152.50220824</v>
      </c>
      <c r="O11">
        <v>1656609331.7411463</v>
      </c>
      <c r="P11"/>
      <c r="Q11" t="s">
        <v>28</v>
      </c>
      <c r="R11">
        <v>362398847.19567573</v>
      </c>
      <c r="S11" s="16" t="s">
        <v>32</v>
      </c>
      <c r="T11" s="11">
        <v>5483167.2271540919</v>
      </c>
      <c r="U11" s="16" t="s">
        <v>60</v>
      </c>
      <c r="V11" s="11">
        <v>71725140.19963403</v>
      </c>
      <c r="W11" s="16" t="s">
        <v>60</v>
      </c>
      <c r="X11" s="11">
        <v>5977095.0166361695</v>
      </c>
      <c r="Y11" s="16" t="s">
        <v>32</v>
      </c>
      <c r="Z11" s="11">
        <v>27292772.018539947</v>
      </c>
      <c r="AA11" s="16" t="s">
        <v>60</v>
      </c>
      <c r="AB11" s="11">
        <v>27096164.07541731</v>
      </c>
      <c r="AC11" s="16" t="s">
        <v>60</v>
      </c>
      <c r="AD11" s="11">
        <v>11476022.431941446</v>
      </c>
      <c r="AE11" s="16" t="s">
        <v>28</v>
      </c>
      <c r="AF11" s="11">
        <v>21938496.003149115</v>
      </c>
      <c r="AG11" s="16" t="s">
        <v>20</v>
      </c>
      <c r="AH11" s="11">
        <v>17357375.596416522</v>
      </c>
      <c r="AI11" s="16" t="s">
        <v>24</v>
      </c>
      <c r="AJ11" s="11">
        <v>8951716.0693866983</v>
      </c>
    </row>
    <row r="12" spans="1:36" ht="15" x14ac:dyDescent="0.25">
      <c r="A12" s="7" t="s">
        <v>13</v>
      </c>
      <c r="B12" s="8">
        <v>44569</v>
      </c>
      <c r="C12" s="9" t="s">
        <v>33</v>
      </c>
      <c r="D12" s="9" t="s">
        <v>28</v>
      </c>
      <c r="E12" s="7">
        <v>624</v>
      </c>
      <c r="F12" s="10">
        <v>80358768.600122958</v>
      </c>
      <c r="G12" s="10">
        <v>21542767.261564609</v>
      </c>
      <c r="H12" s="42" t="s">
        <v>24</v>
      </c>
      <c r="I12" s="43">
        <v>80287750.958862245</v>
      </c>
      <c r="M12" s="16" t="s">
        <v>60</v>
      </c>
      <c r="N12">
        <v>0</v>
      </c>
      <c r="O12">
        <v>0</v>
      </c>
      <c r="P12"/>
      <c r="Q12" t="s">
        <v>37</v>
      </c>
      <c r="R12">
        <v>13164350541.355188</v>
      </c>
      <c r="S12" s="16" t="s">
        <v>60</v>
      </c>
      <c r="T12" s="11">
        <v>1434502.8039926807</v>
      </c>
      <c r="U12" s="16" t="s">
        <v>28</v>
      </c>
      <c r="V12" s="11">
        <v>32569774.360798284</v>
      </c>
      <c r="W12" s="16" t="s">
        <v>20</v>
      </c>
      <c r="X12" s="11">
        <v>5125994.5094600655</v>
      </c>
      <c r="Y12" s="16" t="s">
        <v>15</v>
      </c>
      <c r="Z12" s="11">
        <v>13040934.581751645</v>
      </c>
      <c r="AA12" s="16" t="s">
        <v>28</v>
      </c>
      <c r="AB12" s="11">
        <v>19362044.868215691</v>
      </c>
      <c r="AC12" s="16" t="s">
        <v>32</v>
      </c>
      <c r="AD12" s="11">
        <v>9757165.9966280274</v>
      </c>
      <c r="AE12" s="16" t="s">
        <v>24</v>
      </c>
      <c r="AF12" s="11">
        <v>20544391.527291086</v>
      </c>
      <c r="AG12" s="16" t="s">
        <v>28</v>
      </c>
      <c r="AH12" s="11">
        <v>15487491.855617084</v>
      </c>
      <c r="AI12" s="16" t="s">
        <v>28</v>
      </c>
      <c r="AJ12" s="11">
        <v>4567023.1002956377</v>
      </c>
    </row>
    <row r="13" spans="1:36" ht="15" x14ac:dyDescent="0.25">
      <c r="A13" s="7" t="s">
        <v>13</v>
      </c>
      <c r="B13" s="8">
        <v>44569</v>
      </c>
      <c r="C13" s="9" t="s">
        <v>34</v>
      </c>
      <c r="D13" s="9" t="s">
        <v>28</v>
      </c>
      <c r="E13" s="7">
        <v>40</v>
      </c>
      <c r="F13" s="10">
        <v>420279.59866220731</v>
      </c>
      <c r="G13" s="10">
        <v>1509375.7464222491</v>
      </c>
      <c r="H13" s="42" t="s">
        <v>28</v>
      </c>
      <c r="I13" s="43">
        <v>59774152.50220824</v>
      </c>
      <c r="M13" t="s">
        <v>30</v>
      </c>
      <c r="N13">
        <v>143704757.57413894</v>
      </c>
      <c r="O13">
        <v>26168650649.205948</v>
      </c>
      <c r="P13"/>
      <c r="Q13" t="s">
        <v>60</v>
      </c>
      <c r="R13">
        <v>12751136.035490498</v>
      </c>
      <c r="S13" s="16" t="s">
        <v>20</v>
      </c>
      <c r="T13" s="11">
        <v>1087910.8255735592</v>
      </c>
      <c r="U13" s="16" t="s">
        <v>20</v>
      </c>
      <c r="V13" s="11">
        <v>20800373.595605865</v>
      </c>
      <c r="W13" s="16" t="s">
        <v>37</v>
      </c>
      <c r="X13" s="11">
        <v>3658769582.6111326</v>
      </c>
      <c r="Y13" s="16" t="s">
        <v>20</v>
      </c>
      <c r="Z13" s="11">
        <v>4414732.1134105837</v>
      </c>
      <c r="AA13" s="16" t="s">
        <v>20</v>
      </c>
      <c r="AB13" s="11">
        <v>8029530.301068671</v>
      </c>
      <c r="AC13" s="16" t="s">
        <v>28</v>
      </c>
      <c r="AD13" s="11">
        <v>5244338.3082377203</v>
      </c>
      <c r="AE13" s="16" t="s">
        <v>60</v>
      </c>
      <c r="AF13" s="11">
        <v>4346978.1939172149</v>
      </c>
      <c r="AG13" s="16" t="s">
        <v>60</v>
      </c>
      <c r="AH13" s="11">
        <v>9418452.7534873001</v>
      </c>
      <c r="AI13" s="16" t="s">
        <v>60</v>
      </c>
      <c r="AJ13" s="11">
        <v>1434502.8039926807</v>
      </c>
    </row>
    <row r="14" spans="1:36" ht="15" x14ac:dyDescent="0.25">
      <c r="A14" s="7" t="s">
        <v>13</v>
      </c>
      <c r="B14" s="8">
        <v>44569</v>
      </c>
      <c r="C14" s="9" t="s">
        <v>35</v>
      </c>
      <c r="D14" s="9" t="s">
        <v>28</v>
      </c>
      <c r="E14" s="7">
        <v>132</v>
      </c>
      <c r="F14" s="10">
        <v>1386922.6755852841</v>
      </c>
      <c r="G14" s="10">
        <v>1011066.6305016723</v>
      </c>
      <c r="H14" s="42" t="s">
        <v>20</v>
      </c>
      <c r="I14" s="43">
        <v>46558062.35266684</v>
      </c>
      <c r="M14" t="s">
        <v>32</v>
      </c>
      <c r="N14">
        <v>113855812.17020723</v>
      </c>
      <c r="O14">
        <v>19786245.572312843</v>
      </c>
      <c r="P14"/>
      <c r="Q14" t="s">
        <v>30</v>
      </c>
      <c r="R14">
        <v>12737399356.691914</v>
      </c>
      <c r="S14" s="16" t="s">
        <v>28</v>
      </c>
      <c r="T14" s="11">
        <v>840863.15817711025</v>
      </c>
      <c r="U14" s="16" t="s">
        <v>37</v>
      </c>
      <c r="V14" s="11">
        <v>1014407716.6015364</v>
      </c>
      <c r="Y14" s="16" t="s">
        <v>37</v>
      </c>
      <c r="Z14" s="11">
        <v>1793898192.0908592</v>
      </c>
      <c r="AA14" s="16" t="s">
        <v>24</v>
      </c>
      <c r="AB14" s="11">
        <v>6244602.8523559542</v>
      </c>
      <c r="AC14" s="16" t="s">
        <v>20</v>
      </c>
      <c r="AD14" s="11">
        <v>1301171.3290317196</v>
      </c>
      <c r="AE14" s="16" t="s">
        <v>20</v>
      </c>
      <c r="AF14" s="11">
        <v>2648839.2680463502</v>
      </c>
      <c r="AG14" s="16" t="s">
        <v>24</v>
      </c>
      <c r="AH14" s="11">
        <v>8693956.3878344316</v>
      </c>
      <c r="AI14" s="16" t="s">
        <v>20</v>
      </c>
      <c r="AJ14" s="11">
        <v>919471.74969360861</v>
      </c>
    </row>
    <row r="15" spans="1:36" ht="15" x14ac:dyDescent="0.25">
      <c r="A15" s="7" t="s">
        <v>13</v>
      </c>
      <c r="B15" s="8">
        <v>44569</v>
      </c>
      <c r="C15" s="9" t="s">
        <v>36</v>
      </c>
      <c r="D15" s="9" t="s">
        <v>28</v>
      </c>
      <c r="E15" s="7">
        <v>3</v>
      </c>
      <c r="F15" s="10">
        <v>386340.23365443735</v>
      </c>
      <c r="G15" s="10">
        <v>16083240.653782466</v>
      </c>
      <c r="H15" s="42" t="s">
        <v>157</v>
      </c>
      <c r="I15" s="43"/>
      <c r="M15" t="s">
        <v>37</v>
      </c>
      <c r="N15">
        <v>1065908291.2268565</v>
      </c>
      <c r="O15">
        <v>30179405235.334423</v>
      </c>
      <c r="P15"/>
      <c r="Q15" t="s">
        <v>32</v>
      </c>
      <c r="R15">
        <v>17512862.045229796</v>
      </c>
      <c r="S15" s="16" t="s">
        <v>37</v>
      </c>
      <c r="T15" s="11">
        <v>14689879834.446617</v>
      </c>
      <c r="AA15" s="16" t="s">
        <v>37</v>
      </c>
      <c r="AB15" s="11">
        <v>3151868299.3693657</v>
      </c>
      <c r="AC15" s="16" t="s">
        <v>37</v>
      </c>
      <c r="AD15" s="11">
        <v>6575334920.4394131</v>
      </c>
      <c r="AE15" s="16" t="s">
        <v>37</v>
      </c>
      <c r="AF15" s="11">
        <v>6956000025.2417564</v>
      </c>
      <c r="AG15" s="16" t="s">
        <v>37</v>
      </c>
      <c r="AH15" s="11">
        <v>35991550341.403343</v>
      </c>
      <c r="AI15" s="16" t="s">
        <v>37</v>
      </c>
      <c r="AJ15" s="11">
        <v>2650674482.0334177</v>
      </c>
    </row>
    <row r="16" spans="1:36" ht="15" x14ac:dyDescent="0.25">
      <c r="A16" s="7" t="s">
        <v>13</v>
      </c>
      <c r="B16" s="8">
        <v>44569</v>
      </c>
      <c r="C16" s="9" t="s">
        <v>38</v>
      </c>
      <c r="D16" s="9" t="s">
        <v>28</v>
      </c>
      <c r="E16" s="7">
        <v>28</v>
      </c>
      <c r="F16" s="10">
        <v>294195.71906354517</v>
      </c>
      <c r="G16" s="10">
        <v>524045.40057296184</v>
      </c>
      <c r="H16" s="42" t="s">
        <v>156</v>
      </c>
      <c r="I16" s="43"/>
      <c r="J16" s="11"/>
      <c r="K16" s="11"/>
      <c r="M16"/>
      <c r="N16"/>
    </row>
    <row r="17" spans="1:19" ht="15" x14ac:dyDescent="0.25">
      <c r="A17" s="7" t="s">
        <v>13</v>
      </c>
      <c r="B17" s="8">
        <v>44569</v>
      </c>
      <c r="C17" s="12" t="s">
        <v>39</v>
      </c>
      <c r="D17" s="12" t="s">
        <v>28</v>
      </c>
      <c r="E17" s="7">
        <v>70</v>
      </c>
      <c r="F17" s="10">
        <v>9014605.4519368727</v>
      </c>
      <c r="G17" s="10">
        <v>3440903.6125226687</v>
      </c>
      <c r="H17" s="42" t="s">
        <v>37</v>
      </c>
      <c r="I17">
        <v>1065908291.2268565</v>
      </c>
      <c r="J17" s="11"/>
      <c r="K17" s="11"/>
      <c r="M17"/>
      <c r="N17"/>
      <c r="Q17" t="s">
        <v>158</v>
      </c>
    </row>
    <row r="18" spans="1:19" x14ac:dyDescent="0.25">
      <c r="A18" s="7" t="s">
        <v>13</v>
      </c>
      <c r="B18" s="8">
        <v>44569</v>
      </c>
      <c r="C18" s="9" t="s">
        <v>40</v>
      </c>
      <c r="D18" s="9" t="s">
        <v>32</v>
      </c>
      <c r="E18" s="7">
        <v>16</v>
      </c>
      <c r="F18" s="10">
        <v>2060481.2461569991</v>
      </c>
      <c r="G18" s="10">
        <v>54647725.866387837</v>
      </c>
      <c r="H18" s="7"/>
      <c r="I18" s="11"/>
      <c r="J18" s="11"/>
      <c r="K18" s="11"/>
      <c r="Q18" s="16" t="s">
        <v>15</v>
      </c>
    </row>
    <row r="19" spans="1:19" x14ac:dyDescent="0.25">
      <c r="A19" s="7" t="s">
        <v>13</v>
      </c>
      <c r="B19" s="8">
        <v>44569</v>
      </c>
      <c r="C19" s="9" t="s">
        <v>41</v>
      </c>
      <c r="D19" s="9" t="s">
        <v>32</v>
      </c>
      <c r="E19" s="7">
        <v>5</v>
      </c>
      <c r="F19" s="10">
        <v>643900.38942406222</v>
      </c>
      <c r="G19" s="10">
        <v>59208086.303819388</v>
      </c>
      <c r="H19" s="7"/>
      <c r="I19" s="11"/>
      <c r="J19" s="11"/>
      <c r="K19" s="11"/>
      <c r="Q19" s="16" t="s">
        <v>20</v>
      </c>
    </row>
    <row r="20" spans="1:19" x14ac:dyDescent="0.25">
      <c r="A20" s="7" t="s">
        <v>13</v>
      </c>
      <c r="B20" s="8">
        <v>44569</v>
      </c>
      <c r="C20" s="9" t="s">
        <v>42</v>
      </c>
      <c r="D20" s="9" t="s">
        <v>30</v>
      </c>
      <c r="E20" s="7">
        <v>1</v>
      </c>
      <c r="F20" s="10">
        <v>128780.07788481245</v>
      </c>
      <c r="G20" s="10">
        <v>143704757.57413894</v>
      </c>
      <c r="H20" s="7"/>
      <c r="I20" s="11"/>
      <c r="J20" s="11"/>
      <c r="K20" s="11"/>
      <c r="Q20" s="16" t="s">
        <v>24</v>
      </c>
    </row>
    <row r="21" spans="1:19" x14ac:dyDescent="0.25">
      <c r="A21" s="7"/>
      <c r="B21" s="8"/>
      <c r="C21" s="18" t="s">
        <v>43</v>
      </c>
      <c r="E21" s="7">
        <v>1298</v>
      </c>
      <c r="F21" s="10">
        <v>143501923.51083511</v>
      </c>
      <c r="G21" s="10">
        <v>1065908291.2268567</v>
      </c>
      <c r="H21" s="7"/>
      <c r="I21" s="11"/>
      <c r="J21" s="11"/>
      <c r="K21" s="11"/>
      <c r="Q21" s="16" t="s">
        <v>28</v>
      </c>
    </row>
    <row r="22" spans="1:19" x14ac:dyDescent="0.25">
      <c r="H22" s="7"/>
      <c r="Q22" s="16" t="s">
        <v>60</v>
      </c>
    </row>
    <row r="23" spans="1:19" x14ac:dyDescent="0.25">
      <c r="A23" s="7" t="s">
        <v>44</v>
      </c>
      <c r="B23" s="8">
        <v>44569</v>
      </c>
      <c r="C23" s="9" t="s">
        <v>45</v>
      </c>
      <c r="D23" s="9" t="s">
        <v>15</v>
      </c>
      <c r="E23" s="7">
        <v>1</v>
      </c>
      <c r="F23" s="10">
        <v>31084.846385989218</v>
      </c>
      <c r="G23" s="10">
        <v>18128830.612422537</v>
      </c>
      <c r="Q23" s="16" t="s">
        <v>30</v>
      </c>
    </row>
    <row r="24" spans="1:19" x14ac:dyDescent="0.25">
      <c r="A24" s="7" t="s">
        <v>44</v>
      </c>
      <c r="B24" s="8">
        <v>44569</v>
      </c>
      <c r="C24" s="9" t="s">
        <v>46</v>
      </c>
      <c r="D24" s="9" t="s">
        <v>15</v>
      </c>
      <c r="E24" s="7">
        <v>6</v>
      </c>
      <c r="F24" s="10">
        <v>186509.0783159353</v>
      </c>
      <c r="G24" s="10">
        <v>16996804.085492987</v>
      </c>
      <c r="H24" s="7"/>
      <c r="I24" s="13"/>
      <c r="Q24" s="16" t="s">
        <v>32</v>
      </c>
    </row>
    <row r="25" spans="1:19" x14ac:dyDescent="0.25">
      <c r="A25" s="7" t="s">
        <v>44</v>
      </c>
      <c r="B25" s="8">
        <v>44569</v>
      </c>
      <c r="C25" s="12" t="s">
        <v>16</v>
      </c>
      <c r="D25" s="12" t="s">
        <v>15</v>
      </c>
      <c r="E25" s="7">
        <v>7</v>
      </c>
      <c r="F25" s="10">
        <v>217593.92470192452</v>
      </c>
      <c r="G25" s="10">
        <v>17329371.057323441</v>
      </c>
      <c r="H25" s="73" t="s">
        <v>47</v>
      </c>
      <c r="I25" s="73"/>
    </row>
    <row r="26" spans="1:19" x14ac:dyDescent="0.25">
      <c r="A26" s="7" t="s">
        <v>44</v>
      </c>
      <c r="B26" s="8">
        <v>44569</v>
      </c>
      <c r="C26" s="9" t="s">
        <v>48</v>
      </c>
      <c r="D26" s="9" t="s">
        <v>15</v>
      </c>
      <c r="E26" s="7">
        <v>3</v>
      </c>
      <c r="F26" s="10">
        <v>93254.539157967651</v>
      </c>
      <c r="G26" s="10">
        <v>2267918312.760303</v>
      </c>
      <c r="H26" s="11" t="s">
        <v>25</v>
      </c>
      <c r="I26" s="11" t="s">
        <v>49</v>
      </c>
    </row>
    <row r="27" spans="1:19" ht="15" x14ac:dyDescent="0.25">
      <c r="A27" s="7" t="s">
        <v>44</v>
      </c>
      <c r="B27" s="8">
        <v>44569</v>
      </c>
      <c r="C27" s="9" t="s">
        <v>17</v>
      </c>
      <c r="D27" s="9" t="s">
        <v>15</v>
      </c>
      <c r="E27" s="7">
        <v>7</v>
      </c>
      <c r="F27" s="10">
        <v>217593.92470192452</v>
      </c>
      <c r="G27" s="10">
        <v>4006121.7476871321</v>
      </c>
      <c r="H27" s="16" t="s">
        <v>30</v>
      </c>
      <c r="I27" s="17">
        <v>26168650649.205948</v>
      </c>
      <c r="J27" s="21">
        <f>SUM(G40:G41)</f>
        <v>26168650649.205948</v>
      </c>
      <c r="M27" s="40" t="s">
        <v>155</v>
      </c>
      <c r="N27"/>
      <c r="O27"/>
      <c r="P27"/>
      <c r="Q27"/>
      <c r="R27"/>
      <c r="S27"/>
    </row>
    <row r="28" spans="1:19" ht="15" x14ac:dyDescent="0.25">
      <c r="A28" s="7" t="s">
        <v>44</v>
      </c>
      <c r="B28" s="8">
        <v>44569</v>
      </c>
      <c r="C28" s="9" t="s">
        <v>19</v>
      </c>
      <c r="D28" s="9" t="s">
        <v>20</v>
      </c>
      <c r="E28" s="7">
        <v>9</v>
      </c>
      <c r="F28" s="10">
        <v>279763.617473903</v>
      </c>
      <c r="G28" s="10">
        <v>1004732.1361555123</v>
      </c>
      <c r="H28" s="16" t="s">
        <v>15</v>
      </c>
      <c r="I28" s="17">
        <v>2306250609.6508069</v>
      </c>
      <c r="M28"/>
      <c r="N28"/>
      <c r="O28"/>
      <c r="P28"/>
      <c r="Q28"/>
      <c r="R28"/>
      <c r="S28"/>
    </row>
    <row r="29" spans="1:19" ht="15" x14ac:dyDescent="0.25">
      <c r="A29" s="7" t="s">
        <v>44</v>
      </c>
      <c r="B29" s="8">
        <v>44569</v>
      </c>
      <c r="C29" s="9" t="s">
        <v>50</v>
      </c>
      <c r="D29" s="9" t="s">
        <v>20</v>
      </c>
      <c r="E29" s="7">
        <v>1</v>
      </c>
      <c r="F29" s="10">
        <v>31084.846385989218</v>
      </c>
      <c r="G29" s="10">
        <v>195983.06903310437</v>
      </c>
      <c r="H29" s="16" t="s">
        <v>28</v>
      </c>
      <c r="I29" s="17">
        <v>1656609331.7411463</v>
      </c>
      <c r="M29" t="s">
        <v>62</v>
      </c>
      <c r="N29" t="s">
        <v>151</v>
      </c>
      <c r="O29" t="s">
        <v>16</v>
      </c>
      <c r="P29" t="s">
        <v>15</v>
      </c>
      <c r="Q29" t="s">
        <v>152</v>
      </c>
      <c r="R29" t="s">
        <v>153</v>
      </c>
      <c r="S29" t="s">
        <v>154</v>
      </c>
    </row>
    <row r="30" spans="1:19" ht="15" x14ac:dyDescent="0.25">
      <c r="A30" s="7" t="s">
        <v>44</v>
      </c>
      <c r="B30" s="8">
        <v>44569</v>
      </c>
      <c r="C30" s="9" t="s">
        <v>51</v>
      </c>
      <c r="D30" s="9" t="s">
        <v>20</v>
      </c>
      <c r="E30" s="7">
        <v>4</v>
      </c>
      <c r="F30" s="10">
        <v>124339.38554395687</v>
      </c>
      <c r="G30" s="10">
        <v>1429160.7038852959</v>
      </c>
      <c r="H30" s="16" t="s">
        <v>24</v>
      </c>
      <c r="I30" s="17">
        <v>25478523.255135868</v>
      </c>
      <c r="M30" t="s">
        <v>62</v>
      </c>
      <c r="N30" s="39">
        <v>44628</v>
      </c>
      <c r="O30" t="s">
        <v>56</v>
      </c>
      <c r="P30" t="s">
        <v>30</v>
      </c>
      <c r="Q30">
        <v>9</v>
      </c>
      <c r="R30">
        <v>162262.8981348637</v>
      </c>
      <c r="S30">
        <v>10106297541.274426</v>
      </c>
    </row>
    <row r="31" spans="1:19" ht="15" x14ac:dyDescent="0.25">
      <c r="A31" s="7" t="s">
        <v>44</v>
      </c>
      <c r="B31" s="8">
        <v>44569</v>
      </c>
      <c r="C31" s="9" t="s">
        <v>52</v>
      </c>
      <c r="D31" s="9" t="s">
        <v>24</v>
      </c>
      <c r="E31" s="7">
        <v>2</v>
      </c>
      <c r="F31" s="10">
        <v>62169.692771978436</v>
      </c>
      <c r="G31" s="10">
        <v>15585400.468979446</v>
      </c>
      <c r="H31" s="16" t="s">
        <v>32</v>
      </c>
      <c r="I31" s="17">
        <v>19786245.572312843</v>
      </c>
      <c r="J31" s="11"/>
      <c r="K31" s="11"/>
      <c r="M31" t="s">
        <v>62</v>
      </c>
      <c r="N31" s="39">
        <v>44628</v>
      </c>
      <c r="O31" t="s">
        <v>66</v>
      </c>
      <c r="P31" t="s">
        <v>30</v>
      </c>
      <c r="Q31">
        <v>6</v>
      </c>
      <c r="R31">
        <v>108175.26542324245</v>
      </c>
      <c r="S31">
        <v>4561207850.4696331</v>
      </c>
    </row>
    <row r="32" spans="1:19" ht="15" x14ac:dyDescent="0.25">
      <c r="A32" s="7" t="s">
        <v>44</v>
      </c>
      <c r="B32" s="8">
        <v>44569</v>
      </c>
      <c r="C32" s="9" t="s">
        <v>23</v>
      </c>
      <c r="D32" s="9" t="s">
        <v>24</v>
      </c>
      <c r="E32" s="7">
        <v>2</v>
      </c>
      <c r="F32" s="10">
        <v>62169.692771978436</v>
      </c>
      <c r="G32" s="10">
        <v>9893122.7861564215</v>
      </c>
      <c r="H32" s="16" t="s">
        <v>20</v>
      </c>
      <c r="I32" s="17">
        <v>2629875.9090739125</v>
      </c>
      <c r="J32" s="11"/>
      <c r="K32" s="11"/>
      <c r="N32"/>
    </row>
    <row r="33" spans="1:20" ht="15" x14ac:dyDescent="0.25">
      <c r="A33" s="7" t="s">
        <v>44</v>
      </c>
      <c r="B33" s="8">
        <v>44569</v>
      </c>
      <c r="C33" s="9" t="s">
        <v>27</v>
      </c>
      <c r="D33" s="9" t="s">
        <v>28</v>
      </c>
      <c r="E33" s="7">
        <v>149</v>
      </c>
      <c r="F33" s="10">
        <v>4631642.1115123928</v>
      </c>
      <c r="G33" s="10">
        <v>1767912.5457444056</v>
      </c>
      <c r="H33" s="16" t="s">
        <v>37</v>
      </c>
      <c r="I33" s="11">
        <v>30179405235.334423</v>
      </c>
      <c r="J33" s="11"/>
      <c r="K33" s="11"/>
      <c r="N33"/>
    </row>
    <row r="34" spans="1:20" ht="15" x14ac:dyDescent="0.25">
      <c r="A34" s="7" t="s">
        <v>44</v>
      </c>
      <c r="B34" s="8">
        <v>44569</v>
      </c>
      <c r="C34" s="12" t="s">
        <v>53</v>
      </c>
      <c r="D34" s="12" t="s">
        <v>28</v>
      </c>
      <c r="E34" s="7">
        <v>23</v>
      </c>
      <c r="F34" s="10">
        <v>714951.46687775198</v>
      </c>
      <c r="G34" s="10">
        <v>301108948.78355616</v>
      </c>
      <c r="H34" s="7"/>
      <c r="I34" s="11"/>
      <c r="J34" s="11"/>
      <c r="K34" s="11"/>
      <c r="N34"/>
    </row>
    <row r="35" spans="1:20" ht="15" x14ac:dyDescent="0.25">
      <c r="A35" s="7" t="s">
        <v>44</v>
      </c>
      <c r="B35" s="8">
        <v>44569</v>
      </c>
      <c r="C35" s="9" t="s">
        <v>33</v>
      </c>
      <c r="D35" s="9" t="s">
        <v>28</v>
      </c>
      <c r="E35" s="7">
        <v>816</v>
      </c>
      <c r="F35" s="10">
        <v>25365234.650967199</v>
      </c>
      <c r="G35" s="10">
        <v>6799971.6289819339</v>
      </c>
      <c r="H35" s="7"/>
      <c r="I35" s="11"/>
      <c r="J35" s="11"/>
      <c r="K35" s="11"/>
      <c r="N35"/>
    </row>
    <row r="36" spans="1:20" ht="15" x14ac:dyDescent="0.25">
      <c r="A36" s="7" t="s">
        <v>44</v>
      </c>
      <c r="B36" s="8">
        <v>44569</v>
      </c>
      <c r="C36" s="9" t="s">
        <v>36</v>
      </c>
      <c r="D36" s="9" t="s">
        <v>28</v>
      </c>
      <c r="E36" s="7">
        <v>25</v>
      </c>
      <c r="F36" s="10">
        <v>777121.15964973043</v>
      </c>
      <c r="G36" s="10">
        <v>71458035.194264799</v>
      </c>
      <c r="H36" s="7"/>
      <c r="I36" s="11"/>
      <c r="J36" s="11"/>
      <c r="K36" s="11"/>
      <c r="N36"/>
    </row>
    <row r="37" spans="1:20" ht="15" x14ac:dyDescent="0.25">
      <c r="A37" s="7" t="s">
        <v>44</v>
      </c>
      <c r="B37" s="8">
        <v>44569</v>
      </c>
      <c r="C37" s="9" t="s">
        <v>54</v>
      </c>
      <c r="D37" s="9" t="s">
        <v>28</v>
      </c>
      <c r="E37" s="7">
        <v>257</v>
      </c>
      <c r="F37" s="10">
        <v>7988805.5211992282</v>
      </c>
      <c r="G37" s="10">
        <v>1271266278.0211</v>
      </c>
      <c r="H37" s="7"/>
      <c r="I37" s="11"/>
      <c r="J37" s="11"/>
      <c r="K37" s="11"/>
      <c r="N37"/>
    </row>
    <row r="38" spans="1:20" ht="15" x14ac:dyDescent="0.25">
      <c r="A38" s="7" t="s">
        <v>44</v>
      </c>
      <c r="B38" s="8">
        <v>44569</v>
      </c>
      <c r="C38" s="9" t="s">
        <v>38</v>
      </c>
      <c r="D38" s="9" t="s">
        <v>28</v>
      </c>
      <c r="E38" s="7">
        <v>76</v>
      </c>
      <c r="F38" s="10">
        <v>2362448.3253351804</v>
      </c>
      <c r="G38" s="10">
        <v>4208185.5674989875</v>
      </c>
      <c r="H38" s="7"/>
      <c r="I38" s="11"/>
      <c r="J38" s="11"/>
      <c r="K38" s="11"/>
      <c r="N38"/>
    </row>
    <row r="39" spans="1:20" x14ac:dyDescent="0.25">
      <c r="A39" s="7" t="s">
        <v>44</v>
      </c>
      <c r="B39" s="8">
        <v>44569</v>
      </c>
      <c r="C39" s="9" t="s">
        <v>40</v>
      </c>
      <c r="D39" s="9" t="s">
        <v>32</v>
      </c>
      <c r="E39" s="7">
        <v>24</v>
      </c>
      <c r="F39" s="10">
        <v>746036.31326374121</v>
      </c>
      <c r="G39" s="10">
        <v>19786245.572312843</v>
      </c>
      <c r="H39" s="7"/>
      <c r="I39" s="11"/>
      <c r="J39" s="11"/>
      <c r="K39" s="11"/>
      <c r="N39" s="23">
        <v>44774</v>
      </c>
      <c r="O39" s="12" t="s">
        <v>103</v>
      </c>
      <c r="P39" s="12" t="s">
        <v>104</v>
      </c>
      <c r="Q39" s="24" t="s">
        <v>105</v>
      </c>
      <c r="R39" s="24" t="s">
        <v>106</v>
      </c>
      <c r="S39" s="13" t="s">
        <v>107</v>
      </c>
      <c r="T39" s="24" t="s">
        <v>108</v>
      </c>
    </row>
    <row r="40" spans="1:20" x14ac:dyDescent="0.25">
      <c r="A40" s="7" t="s">
        <v>44</v>
      </c>
      <c r="B40" s="8">
        <v>44569</v>
      </c>
      <c r="C40" s="9" t="s">
        <v>55</v>
      </c>
      <c r="D40" s="9" t="s">
        <v>30</v>
      </c>
      <c r="E40" s="7">
        <v>2</v>
      </c>
      <c r="F40" s="10">
        <v>62169.692771978436</v>
      </c>
      <c r="G40" s="10">
        <v>1885758798.8548777</v>
      </c>
      <c r="H40" s="7"/>
      <c r="I40" s="11"/>
      <c r="J40" s="11"/>
      <c r="K40" s="11"/>
      <c r="O40" s="25">
        <v>1065908291.2268565</v>
      </c>
      <c r="P40" s="25">
        <v>30179405235.334423</v>
      </c>
      <c r="Q40" s="25">
        <v>3658769582.6111326</v>
      </c>
      <c r="R40" s="25">
        <v>1793898192.0908592</v>
      </c>
      <c r="S40" s="25">
        <v>6956000025.2417564</v>
      </c>
      <c r="T40" s="25">
        <v>2650674482.0334177</v>
      </c>
    </row>
    <row r="41" spans="1:20" x14ac:dyDescent="0.25">
      <c r="A41" s="7" t="s">
        <v>44</v>
      </c>
      <c r="B41" s="8">
        <v>44569</v>
      </c>
      <c r="C41" s="9" t="s">
        <v>56</v>
      </c>
      <c r="D41" s="9" t="s">
        <v>30</v>
      </c>
      <c r="E41" s="7">
        <v>7</v>
      </c>
      <c r="F41" s="10">
        <v>217593.92470192452</v>
      </c>
      <c r="G41" s="10">
        <v>24282891850.35107</v>
      </c>
      <c r="H41" s="7"/>
      <c r="I41" s="11"/>
      <c r="J41" s="11"/>
      <c r="K41" s="11"/>
      <c r="N41" s="11" t="s">
        <v>109</v>
      </c>
      <c r="O41" s="13" t="s">
        <v>103</v>
      </c>
      <c r="P41" s="24" t="s">
        <v>57</v>
      </c>
      <c r="Q41" s="24" t="s">
        <v>64</v>
      </c>
      <c r="R41" s="24" t="s">
        <v>96</v>
      </c>
      <c r="S41" s="12" t="s">
        <v>82</v>
      </c>
      <c r="T41" s="11" t="s">
        <v>88</v>
      </c>
    </row>
    <row r="42" spans="1:20" x14ac:dyDescent="0.25">
      <c r="A42" s="7"/>
      <c r="B42" s="8"/>
      <c r="C42" s="18" t="s">
        <v>43</v>
      </c>
      <c r="E42" s="7">
        <v>1421</v>
      </c>
      <c r="F42" s="10">
        <v>44171566.714490674</v>
      </c>
      <c r="G42" s="10">
        <v>30197534065.946846</v>
      </c>
      <c r="H42" s="7"/>
      <c r="I42" s="11"/>
      <c r="J42" s="11"/>
      <c r="K42" s="11"/>
      <c r="O42" s="25">
        <v>1014407716.6015364</v>
      </c>
      <c r="P42" s="25">
        <v>13164350541.355188</v>
      </c>
      <c r="Q42" s="25">
        <v>14689879834.446617</v>
      </c>
      <c r="R42" s="25">
        <v>35991550341.403343</v>
      </c>
      <c r="S42" s="25">
        <v>3151868299.3693657</v>
      </c>
      <c r="T42" s="25">
        <v>6575334920.4394131</v>
      </c>
    </row>
    <row r="43" spans="1:20" x14ac:dyDescent="0.25">
      <c r="H43" s="7"/>
    </row>
    <row r="44" spans="1:20" x14ac:dyDescent="0.25">
      <c r="A44" s="7" t="s">
        <v>44</v>
      </c>
      <c r="B44" s="8">
        <v>44628</v>
      </c>
      <c r="C44" s="9" t="s">
        <v>46</v>
      </c>
      <c r="D44" s="9" t="s">
        <v>15</v>
      </c>
      <c r="E44" s="7">
        <v>9</v>
      </c>
      <c r="F44" s="10">
        <v>540876.32711621234</v>
      </c>
      <c r="G44" s="10">
        <v>49290731.847929657</v>
      </c>
    </row>
    <row r="45" spans="1:20" x14ac:dyDescent="0.25">
      <c r="A45" s="7" t="s">
        <v>44</v>
      </c>
      <c r="B45" s="8">
        <v>44628</v>
      </c>
      <c r="C45" s="12" t="s">
        <v>16</v>
      </c>
      <c r="D45" s="12" t="s">
        <v>15</v>
      </c>
      <c r="E45" s="7">
        <v>2</v>
      </c>
      <c r="F45" s="10">
        <v>120194.73935915831</v>
      </c>
      <c r="G45" s="10">
        <v>6576704.3313368801</v>
      </c>
      <c r="J45" s="13"/>
      <c r="K45" s="13"/>
    </row>
    <row r="46" spans="1:20" x14ac:dyDescent="0.25">
      <c r="A46" s="7" t="s">
        <v>44</v>
      </c>
      <c r="B46" s="8">
        <v>44628</v>
      </c>
      <c r="C46" s="9" t="s">
        <v>17</v>
      </c>
      <c r="D46" s="9" t="s">
        <v>15</v>
      </c>
      <c r="E46" s="7">
        <v>4</v>
      </c>
      <c r="F46" s="10">
        <v>240389.47871831662</v>
      </c>
      <c r="G46" s="10">
        <v>7422025.1554280259</v>
      </c>
      <c r="J46" s="13"/>
      <c r="K46" s="13"/>
      <c r="S46" s="13"/>
    </row>
    <row r="47" spans="1:20" x14ac:dyDescent="0.25">
      <c r="A47" s="7" t="s">
        <v>44</v>
      </c>
      <c r="B47" s="8">
        <v>44628</v>
      </c>
      <c r="C47" s="9" t="s">
        <v>19</v>
      </c>
      <c r="D47" s="9" t="s">
        <v>20</v>
      </c>
      <c r="E47" s="7">
        <v>5</v>
      </c>
      <c r="F47" s="10">
        <v>300486.84839789575</v>
      </c>
      <c r="G47" s="10">
        <v>1079156.7388336982</v>
      </c>
      <c r="J47" s="11"/>
      <c r="K47" s="11"/>
      <c r="Q47" s="24"/>
    </row>
    <row r="48" spans="1:20" x14ac:dyDescent="0.25">
      <c r="A48" s="7" t="s">
        <v>44</v>
      </c>
      <c r="B48" s="8">
        <v>44628</v>
      </c>
      <c r="C48" s="9" t="s">
        <v>51</v>
      </c>
      <c r="D48" s="9" t="s">
        <v>20</v>
      </c>
      <c r="E48" s="7">
        <v>6</v>
      </c>
      <c r="F48" s="10">
        <v>360584.21807747491</v>
      </c>
      <c r="G48" s="10">
        <v>4144566.0412673578</v>
      </c>
      <c r="I48" s="74" t="s">
        <v>57</v>
      </c>
      <c r="J48" s="74"/>
      <c r="K48" s="11"/>
    </row>
    <row r="49" spans="1:21" x14ac:dyDescent="0.25">
      <c r="A49" s="7" t="s">
        <v>44</v>
      </c>
      <c r="B49" s="8">
        <v>44628</v>
      </c>
      <c r="C49" s="9" t="s">
        <v>52</v>
      </c>
      <c r="D49" s="9" t="s">
        <v>24</v>
      </c>
      <c r="E49" s="7">
        <v>1</v>
      </c>
      <c r="F49" s="10">
        <v>60097.369679579155</v>
      </c>
      <c r="G49" s="10">
        <v>15065887.120013466</v>
      </c>
      <c r="I49" s="11" t="s">
        <v>25</v>
      </c>
      <c r="J49" s="11" t="s">
        <v>58</v>
      </c>
      <c r="K49" s="11"/>
    </row>
    <row r="50" spans="1:21" x14ac:dyDescent="0.25">
      <c r="A50" s="7" t="s">
        <v>44</v>
      </c>
      <c r="B50" s="8">
        <v>44628</v>
      </c>
      <c r="C50" s="9" t="s">
        <v>27</v>
      </c>
      <c r="D50" s="9" t="s">
        <v>28</v>
      </c>
      <c r="E50" s="7">
        <v>139</v>
      </c>
      <c r="F50" s="10">
        <v>8353534.3854615018</v>
      </c>
      <c r="G50" s="10">
        <v>3188570.680937673</v>
      </c>
      <c r="I50" s="16" t="s">
        <v>30</v>
      </c>
      <c r="J50" s="11">
        <v>12737399356.691914</v>
      </c>
      <c r="K50" s="11"/>
      <c r="S50" s="24"/>
    </row>
    <row r="51" spans="1:21" x14ac:dyDescent="0.25">
      <c r="A51" s="7" t="s">
        <v>44</v>
      </c>
      <c r="B51" s="8">
        <v>44628</v>
      </c>
      <c r="C51" s="9" t="s">
        <v>29</v>
      </c>
      <c r="D51" s="9" t="s">
        <v>28</v>
      </c>
      <c r="E51" s="7">
        <v>4</v>
      </c>
      <c r="F51" s="10">
        <v>240389.47871831662</v>
      </c>
      <c r="G51" s="10">
        <v>863325.39106695855</v>
      </c>
      <c r="I51" s="16" t="s">
        <v>28</v>
      </c>
      <c r="J51" s="11">
        <v>362398847.19567573</v>
      </c>
      <c r="K51" s="11"/>
      <c r="R51" s="12"/>
      <c r="U51" s="24"/>
    </row>
    <row r="52" spans="1:21" x14ac:dyDescent="0.25">
      <c r="A52" s="7" t="s">
        <v>44</v>
      </c>
      <c r="B52" s="8">
        <v>44628</v>
      </c>
      <c r="C52" s="9" t="s">
        <v>33</v>
      </c>
      <c r="D52" s="9" t="s">
        <v>28</v>
      </c>
      <c r="E52" s="7">
        <v>694</v>
      </c>
      <c r="F52" s="10">
        <v>41707574.557627931</v>
      </c>
      <c r="G52" s="10">
        <v>11181064.461183857</v>
      </c>
      <c r="I52" s="16" t="s">
        <v>32</v>
      </c>
      <c r="J52" s="11">
        <v>17512862.045229796</v>
      </c>
      <c r="K52" s="11"/>
    </row>
    <row r="53" spans="1:21" x14ac:dyDescent="0.25">
      <c r="A53" s="7" t="s">
        <v>44</v>
      </c>
      <c r="B53" s="8">
        <v>44628</v>
      </c>
      <c r="C53" s="9" t="s">
        <v>54</v>
      </c>
      <c r="D53" s="9" t="s">
        <v>28</v>
      </c>
      <c r="E53" s="7">
        <v>200</v>
      </c>
      <c r="F53" s="10">
        <v>2108449.6644295305</v>
      </c>
      <c r="G53" s="10">
        <v>335519615.56473112</v>
      </c>
      <c r="I53" s="16" t="s">
        <v>24</v>
      </c>
      <c r="J53" s="11">
        <v>15065887.120013466</v>
      </c>
      <c r="K53" s="11"/>
    </row>
    <row r="54" spans="1:21" x14ac:dyDescent="0.25">
      <c r="A54" s="7" t="s">
        <v>44</v>
      </c>
      <c r="B54" s="8">
        <v>44628</v>
      </c>
      <c r="C54" s="9" t="s">
        <v>38</v>
      </c>
      <c r="D54" s="9" t="s">
        <v>28</v>
      </c>
      <c r="E54" s="7">
        <v>95</v>
      </c>
      <c r="F54" s="10">
        <v>5709250.11956002</v>
      </c>
      <c r="G54" s="10">
        <v>10169781.788122553</v>
      </c>
      <c r="I54" s="16" t="s">
        <v>15</v>
      </c>
      <c r="J54" s="11">
        <v>13998729.486764906</v>
      </c>
      <c r="K54" s="11"/>
    </row>
    <row r="55" spans="1:21" x14ac:dyDescent="0.25">
      <c r="A55" s="7" t="s">
        <v>44</v>
      </c>
      <c r="B55" s="8">
        <v>44628</v>
      </c>
      <c r="C55" s="9" t="s">
        <v>59</v>
      </c>
      <c r="D55" s="9" t="s">
        <v>28</v>
      </c>
      <c r="E55" s="7">
        <v>15</v>
      </c>
      <c r="F55" s="10">
        <v>158133.72483221476</v>
      </c>
      <c r="G55" s="10">
        <v>650672.44262813637</v>
      </c>
      <c r="I55" s="16" t="s">
        <v>60</v>
      </c>
      <c r="J55" s="11">
        <v>12751136.035490498</v>
      </c>
      <c r="K55" s="11"/>
    </row>
    <row r="56" spans="1:21" x14ac:dyDescent="0.25">
      <c r="A56" s="7" t="s">
        <v>44</v>
      </c>
      <c r="B56" s="8">
        <v>44628</v>
      </c>
      <c r="C56" s="12" t="s">
        <v>39</v>
      </c>
      <c r="D56" s="12" t="s">
        <v>28</v>
      </c>
      <c r="E56" s="7">
        <v>36</v>
      </c>
      <c r="F56" s="10">
        <v>2163505.3084648494</v>
      </c>
      <c r="G56" s="10">
        <v>825816.86700544052</v>
      </c>
      <c r="I56" s="16" t="s">
        <v>20</v>
      </c>
      <c r="J56" s="11">
        <v>5223722.7801010562</v>
      </c>
      <c r="K56" s="11"/>
    </row>
    <row r="57" spans="1:21" x14ac:dyDescent="0.25">
      <c r="A57" s="7" t="s">
        <v>44</v>
      </c>
      <c r="B57" s="8">
        <v>44628</v>
      </c>
      <c r="C57" s="9" t="s">
        <v>61</v>
      </c>
      <c r="D57" s="9" t="s">
        <v>60</v>
      </c>
      <c r="E57" s="7">
        <v>8</v>
      </c>
      <c r="F57" s="10">
        <v>480778.95743663324</v>
      </c>
      <c r="G57" s="10">
        <v>12751136.035490498</v>
      </c>
      <c r="I57" s="16" t="s">
        <v>37</v>
      </c>
      <c r="J57" s="11">
        <v>13164350541.355188</v>
      </c>
      <c r="K57" s="11"/>
    </row>
    <row r="58" spans="1:21" x14ac:dyDescent="0.25">
      <c r="A58" s="7" t="s">
        <v>44</v>
      </c>
      <c r="B58" s="8">
        <v>44628</v>
      </c>
      <c r="C58" s="9" t="s">
        <v>40</v>
      </c>
      <c r="D58" s="9" t="s">
        <v>32</v>
      </c>
      <c r="E58" s="7">
        <v>7</v>
      </c>
      <c r="F58" s="10">
        <v>420681.58775705402</v>
      </c>
      <c r="G58" s="10">
        <v>17512862.045229796</v>
      </c>
      <c r="H58" s="7"/>
      <c r="I58" s="11"/>
      <c r="J58" s="11"/>
      <c r="K58" s="11"/>
    </row>
    <row r="59" spans="1:21" x14ac:dyDescent="0.25">
      <c r="A59" s="7" t="s">
        <v>44</v>
      </c>
      <c r="B59" s="8">
        <v>44628</v>
      </c>
      <c r="C59" s="9" t="s">
        <v>56</v>
      </c>
      <c r="D59" s="9" t="s">
        <v>30</v>
      </c>
      <c r="E59" s="7">
        <v>2</v>
      </c>
      <c r="F59" s="10">
        <v>120194.73935915831</v>
      </c>
      <c r="G59" s="10">
        <v>12737399356.691914</v>
      </c>
      <c r="H59" s="7"/>
      <c r="I59" s="11"/>
      <c r="J59" s="11"/>
      <c r="K59" s="11"/>
    </row>
    <row r="60" spans="1:21" x14ac:dyDescent="0.25">
      <c r="A60" s="7"/>
      <c r="B60" s="8"/>
      <c r="C60" s="18" t="s">
        <v>43</v>
      </c>
      <c r="E60" s="7">
        <v>1227</v>
      </c>
      <c r="F60" s="10">
        <v>63085121.504995838</v>
      </c>
      <c r="G60" s="10">
        <v>13213641273.203119</v>
      </c>
      <c r="H60" s="7"/>
      <c r="I60" s="11"/>
      <c r="J60" s="11"/>
      <c r="K60" s="11"/>
    </row>
    <row r="61" spans="1:21" x14ac:dyDescent="0.25">
      <c r="H61" s="7"/>
    </row>
    <row r="62" spans="1:21" x14ac:dyDescent="0.25">
      <c r="A62" s="22" t="s">
        <v>62</v>
      </c>
      <c r="B62" s="8">
        <v>44628</v>
      </c>
      <c r="C62" s="12" t="s">
        <v>16</v>
      </c>
      <c r="D62" s="12" t="s">
        <v>15</v>
      </c>
      <c r="E62" s="7">
        <v>2</v>
      </c>
      <c r="F62" s="10">
        <v>36058.421807747487</v>
      </c>
      <c r="G62" s="10">
        <v>5013599.5248383107</v>
      </c>
    </row>
    <row r="63" spans="1:21" x14ac:dyDescent="0.25">
      <c r="A63" s="22" t="s">
        <v>62</v>
      </c>
      <c r="B63" s="8">
        <v>44628</v>
      </c>
      <c r="C63" s="9" t="s">
        <v>17</v>
      </c>
      <c r="D63" s="9" t="s">
        <v>15</v>
      </c>
      <c r="E63" s="7">
        <v>1</v>
      </c>
      <c r="F63" s="10">
        <v>18029.210903873744</v>
      </c>
      <c r="G63" s="10">
        <v>8021646.6614060253</v>
      </c>
      <c r="H63" s="7" t="s">
        <v>63</v>
      </c>
    </row>
    <row r="64" spans="1:21" x14ac:dyDescent="0.25">
      <c r="A64" s="22" t="s">
        <v>62</v>
      </c>
      <c r="B64" s="8">
        <v>44628</v>
      </c>
      <c r="C64" s="9" t="s">
        <v>19</v>
      </c>
      <c r="D64" s="9" t="s">
        <v>20</v>
      </c>
      <c r="E64" s="7">
        <v>4</v>
      </c>
      <c r="F64" s="10">
        <v>72116.843615494974</v>
      </c>
      <c r="G64" s="10">
        <v>258997.61732008753</v>
      </c>
      <c r="H64" s="7" t="s">
        <v>63</v>
      </c>
    </row>
    <row r="65" spans="1:14" x14ac:dyDescent="0.25">
      <c r="A65" s="22" t="s">
        <v>62</v>
      </c>
      <c r="B65" s="8">
        <v>44628</v>
      </c>
      <c r="C65" s="9" t="s">
        <v>51</v>
      </c>
      <c r="D65" s="9" t="s">
        <v>20</v>
      </c>
      <c r="E65" s="7">
        <v>4</v>
      </c>
      <c r="F65" s="10">
        <v>72116.843615494974</v>
      </c>
      <c r="G65" s="10">
        <v>828913.20825347153</v>
      </c>
      <c r="H65" s="7" t="s">
        <v>63</v>
      </c>
      <c r="J65" s="74" t="s">
        <v>64</v>
      </c>
      <c r="K65" s="74"/>
    </row>
    <row r="66" spans="1:14" ht="15" x14ac:dyDescent="0.25">
      <c r="A66" s="22" t="s">
        <v>62</v>
      </c>
      <c r="B66" s="8">
        <v>44628</v>
      </c>
      <c r="C66" s="9" t="s">
        <v>23</v>
      </c>
      <c r="D66" s="9" t="s">
        <v>24</v>
      </c>
      <c r="E66" s="7">
        <v>4</v>
      </c>
      <c r="F66" s="10">
        <v>72116.843615494974</v>
      </c>
      <c r="G66" s="10">
        <v>5506352.0262552053</v>
      </c>
      <c r="H66" s="7" t="s">
        <v>63</v>
      </c>
      <c r="J66" s="11" t="s">
        <v>25</v>
      </c>
      <c r="K66" s="11" t="s">
        <v>65</v>
      </c>
      <c r="N66"/>
    </row>
    <row r="67" spans="1:14" ht="15" x14ac:dyDescent="0.25">
      <c r="A67" s="22" t="s">
        <v>62</v>
      </c>
      <c r="B67" s="8">
        <v>44628</v>
      </c>
      <c r="C67" s="9" t="s">
        <v>33</v>
      </c>
      <c r="D67" s="9" t="s">
        <v>28</v>
      </c>
      <c r="E67" s="7">
        <v>120</v>
      </c>
      <c r="F67" s="10">
        <v>2163505.3084648494</v>
      </c>
      <c r="G67" s="10">
        <v>579997.58011904731</v>
      </c>
      <c r="H67" s="7" t="s">
        <v>63</v>
      </c>
      <c r="J67" s="16" t="s">
        <v>30</v>
      </c>
      <c r="K67" s="11">
        <v>14667505391.744059</v>
      </c>
      <c r="N67"/>
    </row>
    <row r="68" spans="1:14" ht="15" x14ac:dyDescent="0.25">
      <c r="A68" s="22" t="s">
        <v>62</v>
      </c>
      <c r="B68" s="8">
        <v>44628</v>
      </c>
      <c r="C68" s="9" t="s">
        <v>59</v>
      </c>
      <c r="D68" s="9" t="s">
        <v>28</v>
      </c>
      <c r="E68" s="7">
        <v>8</v>
      </c>
      <c r="F68" s="10">
        <v>84337.986577181218</v>
      </c>
      <c r="G68" s="10">
        <v>212692.92748274567</v>
      </c>
      <c r="H68" s="7" t="s">
        <v>63</v>
      </c>
      <c r="J68" s="16" t="s">
        <v>15</v>
      </c>
      <c r="K68" s="11">
        <v>8021646.6614060253</v>
      </c>
      <c r="N68"/>
    </row>
    <row r="69" spans="1:14" ht="15" x14ac:dyDescent="0.25">
      <c r="A69" s="22" t="s">
        <v>62</v>
      </c>
      <c r="B69" s="8">
        <v>44628</v>
      </c>
      <c r="C69" s="12" t="s">
        <v>39</v>
      </c>
      <c r="D69" s="12" t="s">
        <v>28</v>
      </c>
      <c r="E69" s="7">
        <v>7</v>
      </c>
      <c r="F69" s="10">
        <v>126204.47632711619</v>
      </c>
      <c r="G69" s="10">
        <v>48172.650575317355</v>
      </c>
      <c r="H69" s="7" t="s">
        <v>63</v>
      </c>
      <c r="J69" s="16" t="s">
        <v>24</v>
      </c>
      <c r="K69" s="11">
        <v>5506352.0262552053</v>
      </c>
      <c r="N69"/>
    </row>
    <row r="70" spans="1:14" ht="15" x14ac:dyDescent="0.25">
      <c r="A70" s="22" t="s">
        <v>62</v>
      </c>
      <c r="B70" s="8">
        <v>44628</v>
      </c>
      <c r="C70" s="9" t="s">
        <v>61</v>
      </c>
      <c r="D70" s="9" t="s">
        <v>60</v>
      </c>
      <c r="E70" s="7">
        <v>3</v>
      </c>
      <c r="F70" s="10">
        <v>54087.632711621227</v>
      </c>
      <c r="G70" s="10">
        <v>1434502.8039926807</v>
      </c>
      <c r="H70" s="7" t="s">
        <v>63</v>
      </c>
      <c r="J70" s="16" t="s">
        <v>32</v>
      </c>
      <c r="K70" s="11">
        <v>5483167.2271540919</v>
      </c>
      <c r="N70"/>
    </row>
    <row r="71" spans="1:14" ht="15" x14ac:dyDescent="0.25">
      <c r="A71" s="22" t="s">
        <v>62</v>
      </c>
      <c r="B71" s="8">
        <v>44628</v>
      </c>
      <c r="C71" s="9" t="s">
        <v>40</v>
      </c>
      <c r="D71" s="9" t="s">
        <v>32</v>
      </c>
      <c r="E71" s="7">
        <v>8</v>
      </c>
      <c r="F71" s="10">
        <v>144233.68723098995</v>
      </c>
      <c r="G71" s="10">
        <v>3825340.8106471491</v>
      </c>
      <c r="H71" s="7" t="s">
        <v>63</v>
      </c>
      <c r="J71" s="16" t="s">
        <v>60</v>
      </c>
      <c r="K71" s="11">
        <v>1434502.8039926807</v>
      </c>
      <c r="N71"/>
    </row>
    <row r="72" spans="1:14" ht="15" x14ac:dyDescent="0.25">
      <c r="A72" s="22" t="s">
        <v>62</v>
      </c>
      <c r="B72" s="8">
        <v>44628</v>
      </c>
      <c r="C72" s="9" t="s">
        <v>41</v>
      </c>
      <c r="D72" s="9" t="s">
        <v>32</v>
      </c>
      <c r="E72" s="7">
        <v>1</v>
      </c>
      <c r="F72" s="10">
        <v>18029.210903873744</v>
      </c>
      <c r="G72" s="10">
        <v>1657826.4165069431</v>
      </c>
      <c r="H72" s="7" t="s">
        <v>63</v>
      </c>
      <c r="J72" s="16" t="s">
        <v>20</v>
      </c>
      <c r="K72" s="11">
        <v>1087910.8255735592</v>
      </c>
      <c r="N72"/>
    </row>
    <row r="73" spans="1:14" ht="15" x14ac:dyDescent="0.25">
      <c r="A73" s="22" t="s">
        <v>62</v>
      </c>
      <c r="B73" s="8">
        <v>44628</v>
      </c>
      <c r="C73" s="9" t="s">
        <v>66</v>
      </c>
      <c r="D73" s="9" t="s">
        <v>30</v>
      </c>
      <c r="E73" s="7">
        <v>6</v>
      </c>
      <c r="F73" s="10">
        <v>108175.26542324245</v>
      </c>
      <c r="G73" s="10">
        <v>4561207850.4696331</v>
      </c>
      <c r="H73" s="7" t="s">
        <v>63</v>
      </c>
      <c r="I73" s="11"/>
      <c r="J73" s="16" t="s">
        <v>28</v>
      </c>
      <c r="K73" s="11">
        <v>840863.15817711025</v>
      </c>
      <c r="N73"/>
    </row>
    <row r="74" spans="1:14" ht="15" x14ac:dyDescent="0.25">
      <c r="A74" s="22" t="s">
        <v>62</v>
      </c>
      <c r="B74" s="8">
        <v>44628</v>
      </c>
      <c r="C74" s="9" t="s">
        <v>56</v>
      </c>
      <c r="D74" s="9" t="s">
        <v>30</v>
      </c>
      <c r="E74" s="7">
        <v>9</v>
      </c>
      <c r="F74" s="10">
        <v>162262.8981348637</v>
      </c>
      <c r="G74" s="10">
        <v>10106297541.274426</v>
      </c>
      <c r="H74" s="7" t="s">
        <v>63</v>
      </c>
      <c r="I74" s="11"/>
      <c r="J74" s="16" t="s">
        <v>37</v>
      </c>
      <c r="K74" s="11">
        <v>14689879834.446617</v>
      </c>
      <c r="N74"/>
    </row>
    <row r="75" spans="1:14" ht="15" x14ac:dyDescent="0.25">
      <c r="A75" s="7"/>
      <c r="B75" s="8"/>
      <c r="C75" s="18" t="s">
        <v>43</v>
      </c>
      <c r="E75" s="7">
        <v>177</v>
      </c>
      <c r="F75" s="10">
        <v>3131274.629331843</v>
      </c>
      <c r="G75" s="10">
        <v>14694893433.971455</v>
      </c>
      <c r="H75" s="7" t="s">
        <v>63</v>
      </c>
      <c r="I75" s="11"/>
      <c r="J75" s="11"/>
      <c r="K75" s="11"/>
      <c r="N75"/>
    </row>
    <row r="76" spans="1:14" ht="15" x14ac:dyDescent="0.25">
      <c r="H76" s="7"/>
      <c r="N76"/>
    </row>
    <row r="77" spans="1:14" ht="15" x14ac:dyDescent="0.25">
      <c r="A77" s="7" t="s">
        <v>13</v>
      </c>
      <c r="B77" s="8">
        <v>44628</v>
      </c>
      <c r="C77" s="12" t="s">
        <v>18</v>
      </c>
      <c r="D77" s="12" t="s">
        <v>15</v>
      </c>
      <c r="E77" s="7">
        <v>4</v>
      </c>
      <c r="F77" s="10">
        <v>515120.31153924979</v>
      </c>
      <c r="G77" s="10">
        <v>40985794.399790883</v>
      </c>
      <c r="N77"/>
    </row>
    <row r="78" spans="1:14" ht="15" x14ac:dyDescent="0.25">
      <c r="A78" s="7" t="s">
        <v>13</v>
      </c>
      <c r="B78" s="8">
        <v>44628</v>
      </c>
      <c r="C78" s="9" t="s">
        <v>19</v>
      </c>
      <c r="D78" s="9" t="s">
        <v>20</v>
      </c>
      <c r="E78" s="7">
        <v>25</v>
      </c>
      <c r="F78" s="10">
        <v>3219501.9471203107</v>
      </c>
      <c r="G78" s="10">
        <v>11562393.630361049</v>
      </c>
      <c r="H78" s="7"/>
      <c r="I78" s="75" t="s">
        <v>67</v>
      </c>
      <c r="J78" s="75"/>
      <c r="K78" s="11"/>
      <c r="N78"/>
    </row>
    <row r="79" spans="1:14" ht="15" x14ac:dyDescent="0.25">
      <c r="A79" s="7" t="s">
        <v>13</v>
      </c>
      <c r="B79" s="8">
        <v>44628</v>
      </c>
      <c r="C79" s="9" t="s">
        <v>51</v>
      </c>
      <c r="D79" s="9" t="s">
        <v>20</v>
      </c>
      <c r="E79" s="7">
        <v>1</v>
      </c>
      <c r="F79" s="10">
        <v>128780.07788481245</v>
      </c>
      <c r="G79" s="10">
        <v>462495.74521444202</v>
      </c>
      <c r="H79" s="7"/>
      <c r="I79" s="11" t="s">
        <v>25</v>
      </c>
      <c r="J79" s="11" t="s">
        <v>68</v>
      </c>
      <c r="K79" s="11"/>
      <c r="N79"/>
    </row>
    <row r="80" spans="1:14" ht="15" x14ac:dyDescent="0.25">
      <c r="A80" s="7" t="s">
        <v>13</v>
      </c>
      <c r="B80" s="8">
        <v>44628</v>
      </c>
      <c r="C80" s="12" t="s">
        <v>21</v>
      </c>
      <c r="D80" s="12" t="s">
        <v>20</v>
      </c>
      <c r="E80" s="7">
        <v>1</v>
      </c>
      <c r="F80" s="10">
        <v>128780.07788481245</v>
      </c>
      <c r="G80" s="10">
        <v>8775484.2200303748</v>
      </c>
      <c r="H80" s="7"/>
      <c r="I80" s="16" t="s">
        <v>24</v>
      </c>
      <c r="J80" s="11">
        <v>629672684.43322849</v>
      </c>
      <c r="K80" s="11"/>
      <c r="N80"/>
    </row>
    <row r="81" spans="1:14" ht="15" x14ac:dyDescent="0.25">
      <c r="A81" s="7" t="s">
        <v>13</v>
      </c>
      <c r="B81" s="8">
        <v>44628</v>
      </c>
      <c r="C81" s="12" t="s">
        <v>69</v>
      </c>
      <c r="D81" s="12" t="s">
        <v>24</v>
      </c>
      <c r="E81" s="7">
        <v>5</v>
      </c>
      <c r="F81" s="10">
        <v>643900.38942406222</v>
      </c>
      <c r="G81" s="10">
        <v>161420219.14300138</v>
      </c>
      <c r="H81" s="7"/>
      <c r="I81" s="16" t="s">
        <v>30</v>
      </c>
      <c r="J81" s="11">
        <v>137357797.4479478</v>
      </c>
      <c r="K81" s="11"/>
      <c r="N81"/>
    </row>
    <row r="82" spans="1:14" ht="15" x14ac:dyDescent="0.25">
      <c r="A82" s="7" t="s">
        <v>13</v>
      </c>
      <c r="B82" s="8">
        <v>44628</v>
      </c>
      <c r="C82" s="9" t="s">
        <v>70</v>
      </c>
      <c r="D82" s="9" t="s">
        <v>24</v>
      </c>
      <c r="E82" s="7">
        <v>1</v>
      </c>
      <c r="F82" s="10">
        <v>128780.07788481245</v>
      </c>
      <c r="G82" s="10">
        <v>117155789.1013626</v>
      </c>
      <c r="H82" s="7"/>
      <c r="I82" s="16" t="s">
        <v>32</v>
      </c>
      <c r="J82" s="11">
        <v>122281946.56432188</v>
      </c>
      <c r="K82" s="11"/>
      <c r="N82"/>
    </row>
    <row r="83" spans="1:14" ht="15" x14ac:dyDescent="0.25">
      <c r="A83" s="7" t="s">
        <v>13</v>
      </c>
      <c r="B83" s="8">
        <v>44628</v>
      </c>
      <c r="C83" s="9" t="s">
        <v>52</v>
      </c>
      <c r="D83" s="9" t="s">
        <v>24</v>
      </c>
      <c r="E83" s="7">
        <v>3</v>
      </c>
      <c r="F83" s="10">
        <v>386340.23365443735</v>
      </c>
      <c r="G83" s="10">
        <v>96852131.485800833</v>
      </c>
      <c r="H83" s="7"/>
      <c r="I83" s="16" t="s">
        <v>60</v>
      </c>
      <c r="J83" s="11">
        <v>71725140.19963403</v>
      </c>
      <c r="K83" s="11"/>
      <c r="N83"/>
    </row>
    <row r="84" spans="1:14" ht="15" x14ac:dyDescent="0.25">
      <c r="A84" s="7" t="s">
        <v>13</v>
      </c>
      <c r="B84" s="8">
        <v>44628</v>
      </c>
      <c r="C84" s="9" t="s">
        <v>23</v>
      </c>
      <c r="D84" s="9" t="s">
        <v>24</v>
      </c>
      <c r="E84" s="7">
        <v>19</v>
      </c>
      <c r="F84" s="10">
        <v>2446821.4798114365</v>
      </c>
      <c r="G84" s="10">
        <v>254244544.70306379</v>
      </c>
      <c r="H84" s="7"/>
      <c r="I84" s="16" t="s">
        <v>28</v>
      </c>
      <c r="J84" s="11">
        <v>32569774.360798284</v>
      </c>
      <c r="K84" s="11"/>
      <c r="N84"/>
    </row>
    <row r="85" spans="1:14" ht="15" x14ac:dyDescent="0.25">
      <c r="A85" s="7" t="s">
        <v>13</v>
      </c>
      <c r="B85" s="8">
        <v>44628</v>
      </c>
      <c r="C85" s="9" t="s">
        <v>27</v>
      </c>
      <c r="D85" s="9" t="s">
        <v>28</v>
      </c>
      <c r="E85" s="7">
        <v>12</v>
      </c>
      <c r="F85" s="10">
        <v>1545360.9346177494</v>
      </c>
      <c r="G85" s="10">
        <v>589869.19071817165</v>
      </c>
      <c r="H85" s="7"/>
      <c r="I85" s="16" t="s">
        <v>20</v>
      </c>
      <c r="J85" s="11">
        <v>20800373.595605865</v>
      </c>
      <c r="K85" s="11"/>
      <c r="N85"/>
    </row>
    <row r="86" spans="1:14" ht="15" x14ac:dyDescent="0.25">
      <c r="A86" s="7" t="s">
        <v>13</v>
      </c>
      <c r="B86" s="8">
        <v>44628</v>
      </c>
      <c r="C86" s="9" t="s">
        <v>29</v>
      </c>
      <c r="D86" s="9" t="s">
        <v>28</v>
      </c>
      <c r="E86" s="7">
        <v>4</v>
      </c>
      <c r="F86" s="10">
        <v>515120.31153924979</v>
      </c>
      <c r="G86" s="10">
        <v>1849982.9808577681</v>
      </c>
      <c r="H86" s="7"/>
      <c r="I86" s="16" t="s">
        <v>37</v>
      </c>
      <c r="J86" s="11">
        <v>1014407716.6015364</v>
      </c>
      <c r="K86" s="11"/>
      <c r="N86"/>
    </row>
    <row r="87" spans="1:14" ht="15" x14ac:dyDescent="0.25">
      <c r="A87" s="7" t="s">
        <v>13</v>
      </c>
      <c r="B87" s="8">
        <v>44628</v>
      </c>
      <c r="C87" s="9" t="s">
        <v>31</v>
      </c>
      <c r="D87" s="9" t="s">
        <v>28</v>
      </c>
      <c r="E87" s="7">
        <v>199</v>
      </c>
      <c r="F87" s="10">
        <v>25627235.499077678</v>
      </c>
      <c r="G87" s="10">
        <v>9781997.4127430134</v>
      </c>
      <c r="H87" s="7"/>
      <c r="I87" s="11"/>
      <c r="J87" s="11"/>
      <c r="K87" s="11"/>
      <c r="N87"/>
    </row>
    <row r="88" spans="1:14" ht="15" x14ac:dyDescent="0.25">
      <c r="A88" s="7" t="s">
        <v>13</v>
      </c>
      <c r="B88" s="8">
        <v>44628</v>
      </c>
      <c r="C88" s="9" t="s">
        <v>33</v>
      </c>
      <c r="D88" s="9" t="s">
        <v>28</v>
      </c>
      <c r="E88" s="7">
        <v>578</v>
      </c>
      <c r="F88" s="10">
        <v>74434885.017421588</v>
      </c>
      <c r="G88" s="10">
        <v>19954678.649333883</v>
      </c>
      <c r="H88" s="7"/>
      <c r="I88" s="11"/>
      <c r="J88" s="11"/>
      <c r="K88" s="11"/>
      <c r="N88"/>
    </row>
    <row r="89" spans="1:14" ht="15" x14ac:dyDescent="0.25">
      <c r="A89" s="7" t="s">
        <v>13</v>
      </c>
      <c r="B89" s="8">
        <v>44628</v>
      </c>
      <c r="C89" s="12" t="s">
        <v>39</v>
      </c>
      <c r="D89" s="12" t="s">
        <v>28</v>
      </c>
      <c r="E89" s="7">
        <v>8</v>
      </c>
      <c r="F89" s="10">
        <v>1030240.6230784996</v>
      </c>
      <c r="G89" s="10">
        <v>393246.12714544777</v>
      </c>
      <c r="H89" s="7"/>
      <c r="I89" s="11"/>
      <c r="J89" s="11"/>
      <c r="K89" s="11"/>
      <c r="N89"/>
    </row>
    <row r="90" spans="1:14" ht="15" x14ac:dyDescent="0.25">
      <c r="A90" s="7" t="s">
        <v>13</v>
      </c>
      <c r="B90" s="8">
        <v>44628</v>
      </c>
      <c r="C90" s="9" t="s">
        <v>61</v>
      </c>
      <c r="D90" s="9" t="s">
        <v>60</v>
      </c>
      <c r="E90" s="7">
        <v>21</v>
      </c>
      <c r="F90" s="10">
        <v>2704381.6355810612</v>
      </c>
      <c r="G90" s="10">
        <v>71725140.19963403</v>
      </c>
      <c r="H90" s="7"/>
      <c r="I90" s="11"/>
      <c r="J90" s="11"/>
      <c r="K90" s="11"/>
      <c r="N90"/>
    </row>
    <row r="91" spans="1:14" ht="15" x14ac:dyDescent="0.25">
      <c r="A91" s="7" t="s">
        <v>13</v>
      </c>
      <c r="B91" s="8">
        <v>44628</v>
      </c>
      <c r="C91" s="9" t="s">
        <v>40</v>
      </c>
      <c r="D91" s="9" t="s">
        <v>32</v>
      </c>
      <c r="E91" s="7">
        <v>15</v>
      </c>
      <c r="F91" s="10">
        <v>1931701.1682721865</v>
      </c>
      <c r="G91" s="10">
        <v>51232242.999738596</v>
      </c>
      <c r="H91" s="7"/>
      <c r="I91" s="11"/>
      <c r="J91" s="11"/>
      <c r="K91" s="11"/>
      <c r="N91"/>
    </row>
    <row r="92" spans="1:14" ht="15" x14ac:dyDescent="0.25">
      <c r="A92" s="7" t="s">
        <v>13</v>
      </c>
      <c r="B92" s="8">
        <v>44628</v>
      </c>
      <c r="C92" s="9" t="s">
        <v>41</v>
      </c>
      <c r="D92" s="9" t="s">
        <v>32</v>
      </c>
      <c r="E92" s="7">
        <v>6</v>
      </c>
      <c r="F92" s="10">
        <v>772680.46730887471</v>
      </c>
      <c r="G92" s="10">
        <v>71049703.564583272</v>
      </c>
      <c r="H92" s="7"/>
      <c r="I92" s="11"/>
      <c r="J92" s="11"/>
      <c r="K92" s="11"/>
      <c r="N92"/>
    </row>
    <row r="93" spans="1:14" ht="15" x14ac:dyDescent="0.25">
      <c r="A93" s="7" t="s">
        <v>13</v>
      </c>
      <c r="B93" s="8">
        <v>44628</v>
      </c>
      <c r="C93" s="9" t="s">
        <v>71</v>
      </c>
      <c r="D93" s="9" t="s">
        <v>30</v>
      </c>
      <c r="E93" s="7">
        <v>4</v>
      </c>
      <c r="F93" s="10">
        <v>515120.31153924979</v>
      </c>
      <c r="G93" s="10">
        <v>137357797.4479478</v>
      </c>
      <c r="H93" s="7"/>
      <c r="I93" s="11"/>
      <c r="J93" s="11"/>
      <c r="K93" s="11"/>
      <c r="N93"/>
    </row>
    <row r="94" spans="1:14" ht="15" x14ac:dyDescent="0.25">
      <c r="A94" s="7"/>
      <c r="B94" s="8"/>
      <c r="C94" s="18" t="s">
        <v>43</v>
      </c>
      <c r="E94" s="7">
        <v>906</v>
      </c>
      <c r="F94" s="10">
        <v>116674750.56364007</v>
      </c>
      <c r="G94" s="10">
        <v>1055393511.0013273</v>
      </c>
      <c r="H94" s="7"/>
      <c r="I94" s="11"/>
      <c r="J94" s="11"/>
      <c r="K94" s="11"/>
      <c r="N94"/>
    </row>
    <row r="95" spans="1:14" ht="15" x14ac:dyDescent="0.25">
      <c r="H95" s="7"/>
      <c r="I95" s="74" t="s">
        <v>72</v>
      </c>
      <c r="J95" s="74"/>
      <c r="N95"/>
    </row>
    <row r="96" spans="1:14" ht="15" x14ac:dyDescent="0.25">
      <c r="A96" s="22" t="s">
        <v>62</v>
      </c>
      <c r="B96" s="8">
        <v>44569</v>
      </c>
      <c r="C96" s="9" t="s">
        <v>73</v>
      </c>
      <c r="D96" s="9" t="s">
        <v>20</v>
      </c>
      <c r="E96" s="7">
        <v>2</v>
      </c>
      <c r="F96" s="10">
        <v>150243.42419894785</v>
      </c>
      <c r="G96" s="10">
        <v>18255826.610344313</v>
      </c>
      <c r="I96" s="11" t="s">
        <v>25</v>
      </c>
      <c r="J96" s="11" t="s">
        <v>74</v>
      </c>
      <c r="N96"/>
    </row>
    <row r="97" spans="1:14" ht="15" x14ac:dyDescent="0.25">
      <c r="A97" s="22" t="s">
        <v>62</v>
      </c>
      <c r="B97" s="8">
        <v>44569</v>
      </c>
      <c r="C97" s="9" t="s">
        <v>75</v>
      </c>
      <c r="D97" s="9" t="s">
        <v>20</v>
      </c>
      <c r="E97" s="7">
        <v>15</v>
      </c>
      <c r="F97" s="10">
        <v>1126825.6814921091</v>
      </c>
      <c r="G97" s="10">
        <v>4046837.770626368</v>
      </c>
      <c r="H97" s="7"/>
      <c r="I97" s="16" t="s">
        <v>30</v>
      </c>
      <c r="J97" s="11">
        <v>3440566602.2100015</v>
      </c>
      <c r="K97" s="11"/>
      <c r="N97"/>
    </row>
    <row r="98" spans="1:14" ht="15" x14ac:dyDescent="0.25">
      <c r="A98" s="22" t="s">
        <v>62</v>
      </c>
      <c r="B98" s="8">
        <v>44569</v>
      </c>
      <c r="C98" s="9" t="s">
        <v>51</v>
      </c>
      <c r="D98" s="9" t="s">
        <v>20</v>
      </c>
      <c r="E98" s="7">
        <v>4</v>
      </c>
      <c r="F98" s="10">
        <v>300486.84839789569</v>
      </c>
      <c r="G98" s="10">
        <v>1079156.738833698</v>
      </c>
      <c r="H98" s="7"/>
      <c r="I98" s="16" t="s">
        <v>32</v>
      </c>
      <c r="J98" s="11">
        <v>189468629.52444977</v>
      </c>
      <c r="K98" s="11"/>
      <c r="N98"/>
    </row>
    <row r="99" spans="1:14" ht="15" x14ac:dyDescent="0.25">
      <c r="A99" s="22" t="s">
        <v>62</v>
      </c>
      <c r="B99" s="8">
        <v>44569</v>
      </c>
      <c r="C99" s="9" t="s">
        <v>27</v>
      </c>
      <c r="D99" s="9" t="s">
        <v>28</v>
      </c>
      <c r="E99" s="7">
        <v>81</v>
      </c>
      <c r="F99" s="10">
        <v>6084858.6800573878</v>
      </c>
      <c r="G99" s="10">
        <v>2322609.9384528007</v>
      </c>
      <c r="H99" s="7"/>
      <c r="I99" s="16" t="s">
        <v>28</v>
      </c>
      <c r="J99" s="11">
        <v>17631261.350585222</v>
      </c>
      <c r="K99" s="11"/>
      <c r="N99"/>
    </row>
    <row r="100" spans="1:14" x14ac:dyDescent="0.25">
      <c r="A100" s="22" t="s">
        <v>62</v>
      </c>
      <c r="B100" s="8">
        <v>44569</v>
      </c>
      <c r="C100" s="9" t="s">
        <v>33</v>
      </c>
      <c r="D100" s="9" t="s">
        <v>28</v>
      </c>
      <c r="E100" s="7">
        <v>702</v>
      </c>
      <c r="F100" s="10">
        <v>52735441.893830694</v>
      </c>
      <c r="G100" s="10">
        <v>14137441.015401775</v>
      </c>
      <c r="H100" s="7"/>
      <c r="I100" s="16" t="s">
        <v>60</v>
      </c>
      <c r="J100" s="11">
        <v>5977095.0166361695</v>
      </c>
      <c r="K100" s="11"/>
    </row>
    <row r="101" spans="1:14" x14ac:dyDescent="0.25">
      <c r="A101" s="22" t="s">
        <v>62</v>
      </c>
      <c r="B101" s="8">
        <v>44569</v>
      </c>
      <c r="C101" s="9" t="s">
        <v>38</v>
      </c>
      <c r="D101" s="9" t="s">
        <v>28</v>
      </c>
      <c r="E101" s="7">
        <v>27</v>
      </c>
      <c r="F101" s="10">
        <v>284640.70469798654</v>
      </c>
      <c r="G101" s="10">
        <v>1171210.3967306453</v>
      </c>
      <c r="H101" s="7"/>
      <c r="I101" s="16" t="s">
        <v>20</v>
      </c>
      <c r="J101" s="11">
        <v>5125994.5094600655</v>
      </c>
      <c r="K101" s="11"/>
    </row>
    <row r="102" spans="1:14" x14ac:dyDescent="0.25">
      <c r="A102" s="22" t="s">
        <v>62</v>
      </c>
      <c r="B102" s="8">
        <v>44569</v>
      </c>
      <c r="C102" s="9" t="s">
        <v>61</v>
      </c>
      <c r="D102" s="9" t="s">
        <v>60</v>
      </c>
      <c r="E102" s="7">
        <v>3</v>
      </c>
      <c r="F102" s="10">
        <v>225365.13629842177</v>
      </c>
      <c r="G102" s="10">
        <v>5977095.0166361695</v>
      </c>
      <c r="H102" s="7"/>
      <c r="I102" s="16" t="s">
        <v>37</v>
      </c>
      <c r="J102" s="11">
        <v>3658769582.6111326</v>
      </c>
      <c r="K102" s="11"/>
    </row>
    <row r="103" spans="1:14" x14ac:dyDescent="0.25">
      <c r="A103" s="22" t="s">
        <v>62</v>
      </c>
      <c r="B103" s="8">
        <v>44569</v>
      </c>
      <c r="C103" s="9" t="s">
        <v>40</v>
      </c>
      <c r="D103" s="9" t="s">
        <v>32</v>
      </c>
      <c r="E103" s="7">
        <v>26</v>
      </c>
      <c r="F103" s="10">
        <v>1953164.514586322</v>
      </c>
      <c r="G103" s="10">
        <v>99542965.760644302</v>
      </c>
      <c r="H103" s="7"/>
      <c r="I103" s="11"/>
      <c r="J103" s="11"/>
      <c r="K103" s="11"/>
    </row>
    <row r="104" spans="1:14" x14ac:dyDescent="0.25">
      <c r="A104" s="22" t="s">
        <v>62</v>
      </c>
      <c r="B104" s="8">
        <v>44569</v>
      </c>
      <c r="C104" s="9" t="s">
        <v>41</v>
      </c>
      <c r="D104" s="9" t="s">
        <v>32</v>
      </c>
      <c r="E104" s="7">
        <v>5</v>
      </c>
      <c r="F104" s="10">
        <v>375608.56049736962</v>
      </c>
      <c r="G104" s="10">
        <v>89925663.763805449</v>
      </c>
      <c r="H104" s="7"/>
      <c r="I104" s="11"/>
      <c r="J104" s="11"/>
      <c r="K104" s="11"/>
    </row>
    <row r="105" spans="1:14" x14ac:dyDescent="0.25">
      <c r="A105" s="22" t="s">
        <v>62</v>
      </c>
      <c r="B105" s="8">
        <v>44569</v>
      </c>
      <c r="C105" s="9" t="s">
        <v>56</v>
      </c>
      <c r="D105" s="9" t="s">
        <v>30</v>
      </c>
      <c r="E105" s="7">
        <v>1</v>
      </c>
      <c r="F105" s="10">
        <v>75121.712099473923</v>
      </c>
      <c r="G105" s="10">
        <v>3440566602.2100015</v>
      </c>
      <c r="H105" s="7"/>
      <c r="I105" s="11"/>
      <c r="J105" s="11"/>
      <c r="K105" s="11"/>
    </row>
    <row r="106" spans="1:14" x14ac:dyDescent="0.25">
      <c r="A106" s="7"/>
      <c r="B106" s="8"/>
      <c r="C106" s="18" t="s">
        <v>43</v>
      </c>
      <c r="E106" s="7">
        <v>866</v>
      </c>
      <c r="F106" s="10">
        <v>63311757.156156614</v>
      </c>
      <c r="G106" s="10">
        <v>3677025409.221477</v>
      </c>
      <c r="H106" s="7"/>
      <c r="I106" s="11"/>
      <c r="J106" s="11"/>
      <c r="K106" s="11"/>
    </row>
    <row r="107" spans="1:14" x14ac:dyDescent="0.25">
      <c r="H107" s="7"/>
    </row>
    <row r="108" spans="1:14" x14ac:dyDescent="0.25">
      <c r="A108" s="7" t="s">
        <v>76</v>
      </c>
      <c r="B108" s="8">
        <v>44564</v>
      </c>
      <c r="C108" s="12" t="s">
        <v>16</v>
      </c>
      <c r="D108" s="12" t="s">
        <v>15</v>
      </c>
      <c r="E108" s="7">
        <v>15</v>
      </c>
      <c r="F108" s="10">
        <v>1229264.3798095735</v>
      </c>
      <c r="G108" s="10">
        <v>283287547.64130932</v>
      </c>
      <c r="I108" s="74" t="s">
        <v>77</v>
      </c>
      <c r="J108" s="74"/>
    </row>
    <row r="109" spans="1:14" x14ac:dyDescent="0.25">
      <c r="A109" s="7" t="s">
        <v>76</v>
      </c>
      <c r="B109" s="8">
        <v>44564</v>
      </c>
      <c r="C109" s="12" t="s">
        <v>18</v>
      </c>
      <c r="D109" s="12" t="s">
        <v>15</v>
      </c>
      <c r="E109" s="7">
        <v>2</v>
      </c>
      <c r="F109" s="10">
        <v>163901.91730794313</v>
      </c>
      <c r="G109" s="10">
        <v>13040934.581751645</v>
      </c>
      <c r="H109" s="7"/>
      <c r="I109" s="11" t="s">
        <v>25</v>
      </c>
      <c r="J109" s="11" t="s">
        <v>78</v>
      </c>
      <c r="K109" s="13"/>
    </row>
    <row r="110" spans="1:14" x14ac:dyDescent="0.25">
      <c r="A110" s="7" t="s">
        <v>76</v>
      </c>
      <c r="B110" s="8">
        <v>44564</v>
      </c>
      <c r="C110" s="9" t="s">
        <v>19</v>
      </c>
      <c r="D110" s="9" t="s">
        <v>20</v>
      </c>
      <c r="E110" s="7">
        <v>15</v>
      </c>
      <c r="F110" s="10">
        <v>1229264.3798095735</v>
      </c>
      <c r="G110" s="10">
        <v>4414732.1134105837</v>
      </c>
      <c r="H110" s="7"/>
      <c r="I110" s="16" t="s">
        <v>30</v>
      </c>
      <c r="J110" s="11">
        <v>1663900497.4618542</v>
      </c>
      <c r="K110" s="11"/>
    </row>
    <row r="111" spans="1:14" x14ac:dyDescent="0.25">
      <c r="A111" s="7" t="s">
        <v>76</v>
      </c>
      <c r="B111" s="8">
        <v>44564</v>
      </c>
      <c r="C111" s="9" t="s">
        <v>52</v>
      </c>
      <c r="D111" s="9" t="s">
        <v>24</v>
      </c>
      <c r="E111" s="7">
        <v>1</v>
      </c>
      <c r="F111" s="10">
        <v>81950.958653971567</v>
      </c>
      <c r="G111" s="10">
        <v>20544391.527291086</v>
      </c>
      <c r="H111" s="7"/>
      <c r="I111" s="16" t="s">
        <v>28</v>
      </c>
      <c r="J111" s="11">
        <v>51663929.806260057</v>
      </c>
      <c r="K111" s="11"/>
    </row>
    <row r="112" spans="1:14" x14ac:dyDescent="0.25">
      <c r="A112" s="7" t="s">
        <v>76</v>
      </c>
      <c r="B112" s="8">
        <v>44564</v>
      </c>
      <c r="C112" s="9" t="s">
        <v>23</v>
      </c>
      <c r="D112" s="9" t="s">
        <v>24</v>
      </c>
      <c r="E112" s="7">
        <v>1</v>
      </c>
      <c r="F112" s="10">
        <v>81950.958653971567</v>
      </c>
      <c r="G112" s="10">
        <v>13040934.581751645</v>
      </c>
      <c r="H112" s="7"/>
      <c r="I112" s="16" t="s">
        <v>24</v>
      </c>
      <c r="J112" s="11">
        <v>33585326.109042734</v>
      </c>
      <c r="K112" s="11"/>
    </row>
    <row r="113" spans="1:11" x14ac:dyDescent="0.25">
      <c r="A113" s="7" t="s">
        <v>76</v>
      </c>
      <c r="B113" s="8">
        <v>44564</v>
      </c>
      <c r="C113" s="9" t="s">
        <v>27</v>
      </c>
      <c r="D113" s="9" t="s">
        <v>28</v>
      </c>
      <c r="E113" s="7">
        <v>17</v>
      </c>
      <c r="F113" s="10">
        <v>1393166.2971175166</v>
      </c>
      <c r="G113" s="10">
        <v>531776.01284441247</v>
      </c>
      <c r="H113" s="7"/>
      <c r="I113" s="16" t="s">
        <v>32</v>
      </c>
      <c r="J113" s="11">
        <v>27292772.018539947</v>
      </c>
      <c r="K113" s="11"/>
    </row>
    <row r="114" spans="1:11" x14ac:dyDescent="0.25">
      <c r="A114" s="7" t="s">
        <v>76</v>
      </c>
      <c r="B114" s="8">
        <v>44564</v>
      </c>
      <c r="C114" s="9" t="s">
        <v>33</v>
      </c>
      <c r="D114" s="9" t="s">
        <v>28</v>
      </c>
      <c r="E114" s="7">
        <v>752</v>
      </c>
      <c r="F114" s="10">
        <v>61627120.907786623</v>
      </c>
      <c r="G114" s="10">
        <v>16521143.191269834</v>
      </c>
      <c r="H114" s="7"/>
      <c r="I114" s="16" t="s">
        <v>15</v>
      </c>
      <c r="J114" s="11">
        <v>13040934.581751645</v>
      </c>
      <c r="K114" s="11"/>
    </row>
    <row r="115" spans="1:11" x14ac:dyDescent="0.25">
      <c r="A115" s="7" t="s">
        <v>76</v>
      </c>
      <c r="B115" s="8">
        <v>44564</v>
      </c>
      <c r="C115" s="9" t="s">
        <v>79</v>
      </c>
      <c r="D115" s="9" t="s">
        <v>28</v>
      </c>
      <c r="E115" s="7">
        <v>60</v>
      </c>
      <c r="F115" s="10">
        <v>4917057.5192382941</v>
      </c>
      <c r="G115" s="10">
        <v>26488392.680463504</v>
      </c>
      <c r="H115" s="7"/>
      <c r="I115" s="16" t="s">
        <v>20</v>
      </c>
      <c r="J115" s="11">
        <v>4414732.1134105837</v>
      </c>
      <c r="K115" s="11"/>
    </row>
    <row r="116" spans="1:11" x14ac:dyDescent="0.25">
      <c r="A116" s="7" t="s">
        <v>76</v>
      </c>
      <c r="B116" s="8">
        <v>44564</v>
      </c>
      <c r="C116" s="9" t="s">
        <v>38</v>
      </c>
      <c r="D116" s="9" t="s">
        <v>28</v>
      </c>
      <c r="E116" s="7">
        <v>40</v>
      </c>
      <c r="F116" s="10">
        <v>3278038.3461588626</v>
      </c>
      <c r="G116" s="10">
        <v>5839109.1606445275</v>
      </c>
      <c r="H116" s="7"/>
      <c r="I116" s="16" t="s">
        <v>37</v>
      </c>
      <c r="J116" s="11">
        <v>1793898192.0908592</v>
      </c>
      <c r="K116" s="11"/>
    </row>
    <row r="117" spans="1:11" x14ac:dyDescent="0.25">
      <c r="A117" s="7" t="s">
        <v>76</v>
      </c>
      <c r="B117" s="8">
        <v>44564</v>
      </c>
      <c r="C117" s="12" t="s">
        <v>39</v>
      </c>
      <c r="D117" s="12" t="s">
        <v>28</v>
      </c>
      <c r="E117" s="7">
        <v>73</v>
      </c>
      <c r="F117" s="10">
        <v>5982419.9817399252</v>
      </c>
      <c r="G117" s="10">
        <v>2283508.7610377711</v>
      </c>
      <c r="H117" s="7"/>
      <c r="I117" s="11"/>
      <c r="J117" s="11"/>
      <c r="K117" s="11"/>
    </row>
    <row r="118" spans="1:11" x14ac:dyDescent="0.25">
      <c r="A118" s="7" t="s">
        <v>76</v>
      </c>
      <c r="B118" s="8">
        <v>44564</v>
      </c>
      <c r="C118" s="9" t="s">
        <v>80</v>
      </c>
      <c r="D118" s="9" t="s">
        <v>32</v>
      </c>
      <c r="E118" s="7">
        <v>8</v>
      </c>
      <c r="F118" s="10">
        <v>655607.66923177254</v>
      </c>
      <c r="G118" s="10">
        <v>27292772.018539947</v>
      </c>
      <c r="H118" s="7"/>
      <c r="I118" s="11"/>
      <c r="J118" s="11"/>
      <c r="K118" s="11"/>
    </row>
    <row r="119" spans="1:11" x14ac:dyDescent="0.25">
      <c r="A119" s="7" t="s">
        <v>76</v>
      </c>
      <c r="B119" s="8">
        <v>44564</v>
      </c>
      <c r="C119" s="9" t="s">
        <v>56</v>
      </c>
      <c r="D119" s="9" t="s">
        <v>30</v>
      </c>
      <c r="E119" s="7">
        <v>9</v>
      </c>
      <c r="F119" s="10">
        <v>737558.62788574421</v>
      </c>
      <c r="G119" s="10">
        <v>1663900497.4618542</v>
      </c>
      <c r="H119" s="7"/>
      <c r="I119" s="11"/>
      <c r="J119" s="11"/>
      <c r="K119" s="11"/>
    </row>
    <row r="120" spans="1:11" x14ac:dyDescent="0.25">
      <c r="A120" s="7"/>
      <c r="B120" s="8"/>
      <c r="C120" s="18" t="s">
        <v>43</v>
      </c>
      <c r="E120" s="7">
        <v>993</v>
      </c>
      <c r="F120" s="10">
        <v>81377301.943393767</v>
      </c>
      <c r="G120" s="10">
        <v>2077185739.7321684</v>
      </c>
      <c r="H120" s="7"/>
      <c r="I120" s="11"/>
      <c r="J120" s="11"/>
      <c r="K120" s="11"/>
    </row>
    <row r="121" spans="1:11" x14ac:dyDescent="0.25">
      <c r="H121" s="7"/>
    </row>
    <row r="122" spans="1:11" x14ac:dyDescent="0.25">
      <c r="A122" s="7" t="s">
        <v>81</v>
      </c>
      <c r="B122" s="8">
        <v>44628</v>
      </c>
      <c r="C122" s="9" t="s">
        <v>46</v>
      </c>
      <c r="D122" s="9" t="s">
        <v>15</v>
      </c>
      <c r="E122" s="7">
        <v>6</v>
      </c>
      <c r="F122" s="10">
        <v>360584.21807747491</v>
      </c>
      <c r="G122" s="10">
        <v>57380112.159707241</v>
      </c>
    </row>
    <row r="123" spans="1:11" x14ac:dyDescent="0.25">
      <c r="A123" s="7" t="s">
        <v>81</v>
      </c>
      <c r="B123" s="8">
        <v>44628</v>
      </c>
      <c r="C123" s="12" t="s">
        <v>16</v>
      </c>
      <c r="D123" s="12" t="s">
        <v>15</v>
      </c>
      <c r="E123" s="7">
        <v>1</v>
      </c>
      <c r="F123" s="10">
        <v>60097.369679579155</v>
      </c>
      <c r="G123" s="10">
        <v>9529336.3265251722</v>
      </c>
      <c r="H123" s="73" t="s">
        <v>82</v>
      </c>
      <c r="I123" s="73"/>
      <c r="K123" s="13"/>
    </row>
    <row r="124" spans="1:11" x14ac:dyDescent="0.25">
      <c r="A124" s="7" t="s">
        <v>81</v>
      </c>
      <c r="B124" s="8">
        <v>44628</v>
      </c>
      <c r="C124" s="9" t="s">
        <v>83</v>
      </c>
      <c r="D124" s="9" t="s">
        <v>15</v>
      </c>
      <c r="E124" s="7">
        <v>1</v>
      </c>
      <c r="F124" s="10">
        <v>60097.369679579155</v>
      </c>
      <c r="G124" s="10">
        <v>13691869.957758239</v>
      </c>
      <c r="H124" s="11" t="s">
        <v>25</v>
      </c>
      <c r="I124" s="11" t="s">
        <v>84</v>
      </c>
      <c r="K124" s="13"/>
    </row>
    <row r="125" spans="1:11" x14ac:dyDescent="0.25">
      <c r="A125" s="7" t="s">
        <v>81</v>
      </c>
      <c r="B125" s="8">
        <v>44628</v>
      </c>
      <c r="C125" s="9" t="s">
        <v>17</v>
      </c>
      <c r="D125" s="9" t="s">
        <v>15</v>
      </c>
      <c r="E125" s="7">
        <v>3</v>
      </c>
      <c r="F125" s="10">
        <v>180292.10903873746</v>
      </c>
      <c r="G125" s="10">
        <v>5434635.1888091816</v>
      </c>
      <c r="H125" s="16" t="s">
        <v>30</v>
      </c>
      <c r="I125" s="11">
        <v>2951198741.6195369</v>
      </c>
      <c r="K125" s="13"/>
    </row>
    <row r="126" spans="1:11" x14ac:dyDescent="0.25">
      <c r="A126" s="7" t="s">
        <v>81</v>
      </c>
      <c r="B126" s="8">
        <v>44628</v>
      </c>
      <c r="C126" s="12" t="s">
        <v>18</v>
      </c>
      <c r="D126" s="12" t="s">
        <v>15</v>
      </c>
      <c r="E126" s="7">
        <v>1</v>
      </c>
      <c r="F126" s="10">
        <v>60097.369679579155</v>
      </c>
      <c r="G126" s="10">
        <v>12285677.90804253</v>
      </c>
      <c r="H126" s="16" t="s">
        <v>15</v>
      </c>
      <c r="I126" s="11">
        <v>112417003.86740963</v>
      </c>
      <c r="K126" s="11"/>
    </row>
    <row r="127" spans="1:11" x14ac:dyDescent="0.25">
      <c r="A127" s="7" t="s">
        <v>81</v>
      </c>
      <c r="B127" s="8">
        <v>44628</v>
      </c>
      <c r="C127" s="9" t="s">
        <v>85</v>
      </c>
      <c r="D127" s="12" t="s">
        <v>15</v>
      </c>
      <c r="E127" s="7">
        <v>1</v>
      </c>
      <c r="F127" s="10">
        <v>60097.369679579155</v>
      </c>
      <c r="G127" s="10">
        <v>71475484.486274511</v>
      </c>
      <c r="H127" s="16" t="s">
        <v>32</v>
      </c>
      <c r="I127" s="11">
        <v>27520211.785361111</v>
      </c>
      <c r="K127" s="11"/>
    </row>
    <row r="128" spans="1:11" x14ac:dyDescent="0.25">
      <c r="A128" s="7" t="s">
        <v>81</v>
      </c>
      <c r="B128" s="8">
        <v>44628</v>
      </c>
      <c r="C128" s="9" t="s">
        <v>19</v>
      </c>
      <c r="D128" s="9" t="s">
        <v>20</v>
      </c>
      <c r="E128" s="7">
        <v>18</v>
      </c>
      <c r="F128" s="10">
        <v>1081752.6542324247</v>
      </c>
      <c r="G128" s="10">
        <v>3884964.2598013133</v>
      </c>
      <c r="H128" s="16" t="s">
        <v>60</v>
      </c>
      <c r="I128" s="11">
        <v>27096164.07541731</v>
      </c>
      <c r="K128" s="11"/>
    </row>
    <row r="129" spans="1:11" x14ac:dyDescent="0.25">
      <c r="A129" s="7" t="s">
        <v>81</v>
      </c>
      <c r="B129" s="8">
        <v>44628</v>
      </c>
      <c r="C129" s="9" t="s">
        <v>51</v>
      </c>
      <c r="D129" s="9" t="s">
        <v>20</v>
      </c>
      <c r="E129" s="7">
        <v>6</v>
      </c>
      <c r="F129" s="10">
        <v>360584.21807747491</v>
      </c>
      <c r="G129" s="10">
        <v>4144566.0412673578</v>
      </c>
      <c r="H129" s="16" t="s">
        <v>28</v>
      </c>
      <c r="I129" s="11">
        <v>19362044.868215691</v>
      </c>
      <c r="K129" s="11"/>
    </row>
    <row r="130" spans="1:11" x14ac:dyDescent="0.25">
      <c r="A130" s="7" t="s">
        <v>81</v>
      </c>
      <c r="B130" s="8">
        <v>44628</v>
      </c>
      <c r="C130" s="9" t="s">
        <v>23</v>
      </c>
      <c r="D130" s="9" t="s">
        <v>24</v>
      </c>
      <c r="E130" s="7">
        <v>1</v>
      </c>
      <c r="F130" s="10">
        <v>60097.369679579155</v>
      </c>
      <c r="G130" s="10">
        <v>6244602.8523559542</v>
      </c>
      <c r="H130" s="16" t="s">
        <v>20</v>
      </c>
      <c r="I130" s="11">
        <v>8029530.301068671</v>
      </c>
      <c r="K130" s="11"/>
    </row>
    <row r="131" spans="1:11" x14ac:dyDescent="0.25">
      <c r="A131" s="7" t="s">
        <v>81</v>
      </c>
      <c r="B131" s="8">
        <v>44628</v>
      </c>
      <c r="C131" s="9" t="s">
        <v>27</v>
      </c>
      <c r="D131" s="9" t="s">
        <v>28</v>
      </c>
      <c r="E131" s="7">
        <v>215</v>
      </c>
      <c r="F131" s="10">
        <v>12920934.481109519</v>
      </c>
      <c r="G131" s="10">
        <v>4931961.8446158255</v>
      </c>
      <c r="H131" s="16" t="s">
        <v>24</v>
      </c>
      <c r="I131" s="11">
        <v>6244602.8523559542</v>
      </c>
      <c r="K131" s="11"/>
    </row>
    <row r="132" spans="1:11" x14ac:dyDescent="0.25">
      <c r="A132" s="7" t="s">
        <v>81</v>
      </c>
      <c r="B132" s="8">
        <v>44628</v>
      </c>
      <c r="C132" s="9" t="s">
        <v>29</v>
      </c>
      <c r="D132" s="9" t="s">
        <v>28</v>
      </c>
      <c r="E132" s="7">
        <v>4</v>
      </c>
      <c r="F132" s="10">
        <v>240389.47871831662</v>
      </c>
      <c r="G132" s="10">
        <v>863325.39106695855</v>
      </c>
      <c r="H132" s="16" t="s">
        <v>37</v>
      </c>
      <c r="I132" s="11">
        <v>3151868299.3693657</v>
      </c>
      <c r="J132" s="11"/>
      <c r="K132" s="11"/>
    </row>
    <row r="133" spans="1:11" x14ac:dyDescent="0.25">
      <c r="A133" s="7" t="s">
        <v>81</v>
      </c>
      <c r="B133" s="8">
        <v>44628</v>
      </c>
      <c r="C133" s="9" t="s">
        <v>31</v>
      </c>
      <c r="D133" s="9" t="s">
        <v>28</v>
      </c>
      <c r="E133" s="7">
        <v>8</v>
      </c>
      <c r="F133" s="10">
        <v>480778.95743663324</v>
      </c>
      <c r="G133" s="10">
        <v>183514.85933454233</v>
      </c>
      <c r="H133" s="7"/>
      <c r="I133" s="11"/>
      <c r="J133" s="11"/>
      <c r="K133" s="11"/>
    </row>
    <row r="134" spans="1:11" x14ac:dyDescent="0.25">
      <c r="A134" s="7" t="s">
        <v>81</v>
      </c>
      <c r="B134" s="8">
        <v>44628</v>
      </c>
      <c r="C134" s="9" t="s">
        <v>33</v>
      </c>
      <c r="D134" s="9" t="s">
        <v>28</v>
      </c>
      <c r="E134" s="7">
        <v>694</v>
      </c>
      <c r="F134" s="10">
        <v>41707574.557627931</v>
      </c>
      <c r="G134" s="10">
        <v>11181064.461183857</v>
      </c>
      <c r="H134" s="7"/>
      <c r="I134" s="11"/>
      <c r="J134" s="11"/>
      <c r="K134" s="11"/>
    </row>
    <row r="135" spans="1:11" x14ac:dyDescent="0.25">
      <c r="A135" s="7" t="s">
        <v>81</v>
      </c>
      <c r="B135" s="8">
        <v>44628</v>
      </c>
      <c r="C135" s="12" t="s">
        <v>39</v>
      </c>
      <c r="D135" s="12" t="s">
        <v>28</v>
      </c>
      <c r="E135" s="7">
        <v>96</v>
      </c>
      <c r="F135" s="10">
        <v>5769347.4892395986</v>
      </c>
      <c r="G135" s="10">
        <v>2202178.3120145081</v>
      </c>
      <c r="H135" s="7"/>
      <c r="I135" s="11"/>
      <c r="J135" s="11"/>
      <c r="K135" s="11"/>
    </row>
    <row r="136" spans="1:11" x14ac:dyDescent="0.25">
      <c r="A136" s="7" t="s">
        <v>81</v>
      </c>
      <c r="B136" s="8">
        <v>44628</v>
      </c>
      <c r="C136" s="9" t="s">
        <v>61</v>
      </c>
      <c r="D136" s="9" t="s">
        <v>60</v>
      </c>
      <c r="E136" s="7">
        <v>17</v>
      </c>
      <c r="F136" s="10">
        <v>1021655.2845528456</v>
      </c>
      <c r="G136" s="10">
        <v>27096164.07541731</v>
      </c>
      <c r="H136" s="7"/>
      <c r="I136" s="11"/>
      <c r="J136" s="11"/>
      <c r="K136" s="11"/>
    </row>
    <row r="137" spans="1:11" x14ac:dyDescent="0.25">
      <c r="A137" s="7" t="s">
        <v>81</v>
      </c>
      <c r="B137" s="8">
        <v>44628</v>
      </c>
      <c r="C137" s="9" t="s">
        <v>40</v>
      </c>
      <c r="D137" s="9" t="s">
        <v>32</v>
      </c>
      <c r="E137" s="7">
        <v>11</v>
      </c>
      <c r="F137" s="10">
        <v>661071.06647537067</v>
      </c>
      <c r="G137" s="10">
        <v>27520211.785361111</v>
      </c>
      <c r="H137" s="7"/>
      <c r="I137" s="11"/>
      <c r="J137" s="11"/>
      <c r="K137" s="11"/>
    </row>
    <row r="138" spans="1:11" x14ac:dyDescent="0.25">
      <c r="A138" s="7" t="s">
        <v>81</v>
      </c>
      <c r="B138" s="8">
        <v>44628</v>
      </c>
      <c r="C138" s="9" t="s">
        <v>56</v>
      </c>
      <c r="D138" s="9" t="s">
        <v>30</v>
      </c>
      <c r="E138" s="7">
        <v>1</v>
      </c>
      <c r="F138" s="10">
        <v>60097.369679579155</v>
      </c>
      <c r="G138" s="10">
        <v>2951198741.6195369</v>
      </c>
      <c r="H138" s="7"/>
      <c r="I138" s="11"/>
      <c r="J138" s="11"/>
      <c r="K138" s="11"/>
    </row>
    <row r="139" spans="1:11" x14ac:dyDescent="0.25">
      <c r="A139" s="7"/>
      <c r="B139" s="8"/>
      <c r="C139" s="18" t="s">
        <v>43</v>
      </c>
      <c r="E139" s="7">
        <v>1084</v>
      </c>
      <c r="F139" s="10">
        <v>65145548.732663788</v>
      </c>
      <c r="G139" s="10">
        <v>3209248411.5290728</v>
      </c>
      <c r="H139" s="7"/>
      <c r="I139" s="11"/>
      <c r="J139" s="11"/>
      <c r="K139" s="11"/>
    </row>
    <row r="140" spans="1:11" x14ac:dyDescent="0.25">
      <c r="H140" s="7"/>
    </row>
    <row r="141" spans="1:11" x14ac:dyDescent="0.25">
      <c r="A141" s="22" t="s">
        <v>86</v>
      </c>
      <c r="B141" s="8">
        <v>44628</v>
      </c>
      <c r="C141" s="9" t="s">
        <v>17</v>
      </c>
      <c r="D141" s="9" t="s">
        <v>15</v>
      </c>
      <c r="E141" s="7">
        <v>4</v>
      </c>
      <c r="F141" s="10">
        <v>72116.843615494974</v>
      </c>
      <c r="G141" s="10">
        <v>4183930.7991965557</v>
      </c>
    </row>
    <row r="142" spans="1:11" x14ac:dyDescent="0.25">
      <c r="A142" s="22" t="s">
        <v>86</v>
      </c>
      <c r="B142" s="8">
        <v>44628</v>
      </c>
      <c r="C142" s="9" t="s">
        <v>87</v>
      </c>
      <c r="D142" s="12" t="s">
        <v>15</v>
      </c>
      <c r="E142" s="7">
        <v>7</v>
      </c>
      <c r="F142" s="10">
        <v>126204.47632711619</v>
      </c>
      <c r="G142" s="10">
        <v>75049258.710588217</v>
      </c>
      <c r="H142" s="7" t="s">
        <v>63</v>
      </c>
      <c r="I142" s="11"/>
      <c r="J142" s="75" t="s">
        <v>88</v>
      </c>
      <c r="K142" s="75"/>
    </row>
    <row r="143" spans="1:11" x14ac:dyDescent="0.25">
      <c r="A143" s="22" t="s">
        <v>86</v>
      </c>
      <c r="B143" s="8">
        <v>44628</v>
      </c>
      <c r="C143" s="9" t="s">
        <v>89</v>
      </c>
      <c r="D143" s="12" t="s">
        <v>15</v>
      </c>
      <c r="E143" s="7">
        <v>2</v>
      </c>
      <c r="F143" s="10">
        <v>36058.421807747487</v>
      </c>
      <c r="G143" s="10">
        <v>85526080.66586712</v>
      </c>
      <c r="H143" s="7" t="s">
        <v>63</v>
      </c>
      <c r="I143" s="11"/>
      <c r="J143" s="11" t="s">
        <v>25</v>
      </c>
      <c r="K143" s="11" t="s">
        <v>90</v>
      </c>
    </row>
    <row r="144" spans="1:11" x14ac:dyDescent="0.25">
      <c r="A144" s="22" t="s">
        <v>86</v>
      </c>
      <c r="B144" s="8">
        <v>44628</v>
      </c>
      <c r="C144" s="9" t="s">
        <v>19</v>
      </c>
      <c r="D144" s="9" t="s">
        <v>20</v>
      </c>
      <c r="E144" s="7">
        <v>13</v>
      </c>
      <c r="F144" s="10">
        <v>234379.74175035863</v>
      </c>
      <c r="G144" s="10">
        <v>841742.25629028433</v>
      </c>
      <c r="H144" s="7" t="s">
        <v>63</v>
      </c>
      <c r="I144" s="11"/>
      <c r="J144" s="16" t="s">
        <v>30</v>
      </c>
      <c r="K144" s="11">
        <v>6343513283.429287</v>
      </c>
    </row>
    <row r="145" spans="1:11" x14ac:dyDescent="0.25">
      <c r="A145" s="22" t="s">
        <v>86</v>
      </c>
      <c r="B145" s="8">
        <v>44628</v>
      </c>
      <c r="C145" s="9" t="s">
        <v>51</v>
      </c>
      <c r="D145" s="9" t="s">
        <v>20</v>
      </c>
      <c r="E145" s="7">
        <v>4</v>
      </c>
      <c r="F145" s="10">
        <v>72116.843615494974</v>
      </c>
      <c r="G145" s="10">
        <v>459429.07274143532</v>
      </c>
      <c r="H145" s="7" t="s">
        <v>63</v>
      </c>
      <c r="I145" s="11"/>
      <c r="J145" s="16" t="s">
        <v>15</v>
      </c>
      <c r="K145" s="11">
        <v>160575339.37645534</v>
      </c>
    </row>
    <row r="146" spans="1:11" x14ac:dyDescent="0.25">
      <c r="A146" s="22" t="s">
        <v>86</v>
      </c>
      <c r="B146" s="8">
        <v>44628</v>
      </c>
      <c r="C146" s="9" t="s">
        <v>52</v>
      </c>
      <c r="D146" s="9" t="s">
        <v>24</v>
      </c>
      <c r="E146" s="7">
        <v>2</v>
      </c>
      <c r="F146" s="10">
        <v>36058.421807747487</v>
      </c>
      <c r="G146" s="10">
        <v>9039532.2720080782</v>
      </c>
      <c r="H146" s="7" t="s">
        <v>63</v>
      </c>
      <c r="I146" s="11"/>
      <c r="J146" s="16" t="s">
        <v>24</v>
      </c>
      <c r="K146" s="11">
        <v>43467599.567832418</v>
      </c>
    </row>
    <row r="147" spans="1:11" x14ac:dyDescent="0.25">
      <c r="A147" s="22" t="s">
        <v>86</v>
      </c>
      <c r="B147" s="8">
        <v>44628</v>
      </c>
      <c r="C147" s="9" t="s">
        <v>23</v>
      </c>
      <c r="D147" s="9" t="s">
        <v>24</v>
      </c>
      <c r="E147" s="7">
        <v>12</v>
      </c>
      <c r="F147" s="10">
        <v>216350.53084648491</v>
      </c>
      <c r="G147" s="10">
        <v>34428067.295824341</v>
      </c>
      <c r="H147" s="7" t="s">
        <v>63</v>
      </c>
      <c r="I147" s="11"/>
      <c r="J147" s="16" t="s">
        <v>60</v>
      </c>
      <c r="K147" s="11">
        <v>11476022.431941446</v>
      </c>
    </row>
    <row r="148" spans="1:11" x14ac:dyDescent="0.25">
      <c r="A148" s="22" t="s">
        <v>86</v>
      </c>
      <c r="B148" s="8">
        <v>44628</v>
      </c>
      <c r="C148" s="9" t="s">
        <v>27</v>
      </c>
      <c r="D148" s="9" t="s">
        <v>28</v>
      </c>
      <c r="E148" s="7">
        <v>53</v>
      </c>
      <c r="F148" s="10">
        <v>955548.17790530843</v>
      </c>
      <c r="G148" s="10">
        <v>364735.78292740288</v>
      </c>
      <c r="H148" s="7" t="s">
        <v>63</v>
      </c>
      <c r="I148" s="11"/>
      <c r="J148" s="16" t="s">
        <v>32</v>
      </c>
      <c r="K148" s="11">
        <v>9757165.9966280274</v>
      </c>
    </row>
    <row r="149" spans="1:11" x14ac:dyDescent="0.25">
      <c r="A149" s="22" t="s">
        <v>86</v>
      </c>
      <c r="B149" s="8">
        <v>44628</v>
      </c>
      <c r="C149" s="9" t="s">
        <v>33</v>
      </c>
      <c r="D149" s="9" t="s">
        <v>28</v>
      </c>
      <c r="E149" s="7">
        <v>430</v>
      </c>
      <c r="F149" s="10">
        <v>7752560.6886657095</v>
      </c>
      <c r="G149" s="10">
        <v>2078324.6620932526</v>
      </c>
      <c r="H149" s="7" t="s">
        <v>63</v>
      </c>
      <c r="I149" s="11"/>
      <c r="J149" s="16" t="s">
        <v>28</v>
      </c>
      <c r="K149" s="11">
        <v>5244338.3082377203</v>
      </c>
    </row>
    <row r="150" spans="1:11" x14ac:dyDescent="0.25">
      <c r="A150" s="22" t="s">
        <v>86</v>
      </c>
      <c r="B150" s="8">
        <v>44628</v>
      </c>
      <c r="C150" s="9" t="s">
        <v>91</v>
      </c>
      <c r="D150" s="9" t="s">
        <v>28</v>
      </c>
      <c r="E150" s="7">
        <v>27</v>
      </c>
      <c r="F150" s="10">
        <v>486788.69440459105</v>
      </c>
      <c r="G150" s="10">
        <v>2622350.8753658864</v>
      </c>
      <c r="H150" s="7" t="s">
        <v>63</v>
      </c>
      <c r="I150" s="11"/>
      <c r="J150" s="16" t="s">
        <v>20</v>
      </c>
      <c r="K150" s="11">
        <v>1301171.3290317196</v>
      </c>
    </row>
    <row r="151" spans="1:11" x14ac:dyDescent="0.25">
      <c r="A151" s="22" t="s">
        <v>86</v>
      </c>
      <c r="B151" s="8">
        <v>44628</v>
      </c>
      <c r="C151" s="12" t="s">
        <v>39</v>
      </c>
      <c r="D151" s="12" t="s">
        <v>28</v>
      </c>
      <c r="E151" s="7">
        <v>26</v>
      </c>
      <c r="F151" s="10">
        <v>468759.48350071727</v>
      </c>
      <c r="G151" s="10">
        <v>178926.98785117874</v>
      </c>
      <c r="H151" s="7" t="s">
        <v>63</v>
      </c>
      <c r="I151" s="11"/>
      <c r="J151" s="16" t="s">
        <v>37</v>
      </c>
      <c r="K151" s="11">
        <v>6575334920.4394131</v>
      </c>
    </row>
    <row r="152" spans="1:11" x14ac:dyDescent="0.25">
      <c r="A152" s="22" t="s">
        <v>86</v>
      </c>
      <c r="B152" s="8">
        <v>44628</v>
      </c>
      <c r="C152" s="9" t="s">
        <v>61</v>
      </c>
      <c r="D152" s="9" t="s">
        <v>60</v>
      </c>
      <c r="E152" s="7">
        <v>24</v>
      </c>
      <c r="F152" s="10">
        <v>432701.06169296982</v>
      </c>
      <c r="G152" s="10">
        <v>11476022.431941446</v>
      </c>
      <c r="H152" s="7" t="s">
        <v>63</v>
      </c>
      <c r="I152" s="11"/>
      <c r="J152" s="11"/>
      <c r="K152" s="11"/>
    </row>
    <row r="153" spans="1:11" x14ac:dyDescent="0.25">
      <c r="A153" s="22" t="s">
        <v>86</v>
      </c>
      <c r="B153" s="8">
        <v>44628</v>
      </c>
      <c r="C153" s="9" t="s">
        <v>40</v>
      </c>
      <c r="D153" s="9" t="s">
        <v>32</v>
      </c>
      <c r="E153" s="7">
        <v>13</v>
      </c>
      <c r="F153" s="10">
        <v>234379.74175035863</v>
      </c>
      <c r="G153" s="10">
        <v>9757165.9966280274</v>
      </c>
      <c r="H153" s="7" t="s">
        <v>63</v>
      </c>
      <c r="I153" s="11"/>
      <c r="J153" s="11"/>
      <c r="K153" s="11"/>
    </row>
    <row r="154" spans="1:11" x14ac:dyDescent="0.25">
      <c r="A154" s="22" t="s">
        <v>86</v>
      </c>
      <c r="B154" s="8">
        <v>44628</v>
      </c>
      <c r="C154" s="9" t="s">
        <v>92</v>
      </c>
      <c r="D154" s="9" t="s">
        <v>30</v>
      </c>
      <c r="E154" s="7">
        <v>1</v>
      </c>
      <c r="F154" s="10">
        <v>18029.210903873744</v>
      </c>
      <c r="G154" s="10">
        <v>10195269.96303013</v>
      </c>
      <c r="H154" s="7" t="s">
        <v>63</v>
      </c>
      <c r="I154" s="11"/>
      <c r="J154" s="11"/>
      <c r="K154" s="11"/>
    </row>
    <row r="155" spans="1:11" x14ac:dyDescent="0.25">
      <c r="A155" s="22" t="s">
        <v>86</v>
      </c>
      <c r="B155" s="8">
        <v>44628</v>
      </c>
      <c r="C155" s="9" t="s">
        <v>56</v>
      </c>
      <c r="D155" s="9" t="s">
        <v>30</v>
      </c>
      <c r="E155" s="7">
        <v>4</v>
      </c>
      <c r="F155" s="10">
        <v>72116.843615494974</v>
      </c>
      <c r="G155" s="10">
        <v>6333318013.4662571</v>
      </c>
      <c r="H155" s="7" t="s">
        <v>63</v>
      </c>
      <c r="I155" s="11"/>
      <c r="J155" s="11"/>
      <c r="K155" s="11"/>
    </row>
    <row r="156" spans="1:11" x14ac:dyDescent="0.25">
      <c r="A156" s="7"/>
      <c r="B156" s="8"/>
      <c r="C156" s="18" t="s">
        <v>43</v>
      </c>
      <c r="E156" s="7">
        <v>622</v>
      </c>
      <c r="F156" s="10">
        <v>11214169.182209468</v>
      </c>
      <c r="G156" s="10">
        <v>6579518851.2386103</v>
      </c>
      <c r="H156" s="7" t="s">
        <v>63</v>
      </c>
      <c r="I156" s="11"/>
      <c r="J156" s="11"/>
      <c r="K156" s="11"/>
    </row>
    <row r="157" spans="1:11" x14ac:dyDescent="0.25">
      <c r="H157" s="7"/>
    </row>
    <row r="158" spans="1:11" x14ac:dyDescent="0.25">
      <c r="A158" s="7" t="s">
        <v>93</v>
      </c>
      <c r="B158" s="8">
        <v>44569</v>
      </c>
      <c r="C158" s="9" t="s">
        <v>46</v>
      </c>
      <c r="D158" s="9" t="s">
        <v>15</v>
      </c>
      <c r="E158" s="7">
        <v>3</v>
      </c>
      <c r="F158" s="10">
        <v>245852.87596191472</v>
      </c>
      <c r="G158" s="10">
        <v>22404878.112695299</v>
      </c>
    </row>
    <row r="159" spans="1:11" x14ac:dyDescent="0.25">
      <c r="A159" s="7" t="s">
        <v>93</v>
      </c>
      <c r="B159" s="8">
        <v>44569</v>
      </c>
      <c r="C159" s="12" t="s">
        <v>16</v>
      </c>
      <c r="D159" s="12" t="s">
        <v>15</v>
      </c>
      <c r="E159" s="7">
        <v>1</v>
      </c>
      <c r="F159" s="10">
        <v>81950.958653971567</v>
      </c>
      <c r="G159" s="10">
        <v>4192161.1315156459</v>
      </c>
      <c r="H159" s="7"/>
      <c r="I159" s="76" t="s">
        <v>94</v>
      </c>
      <c r="J159" s="76"/>
    </row>
    <row r="160" spans="1:11" x14ac:dyDescent="0.25">
      <c r="A160" s="7" t="s">
        <v>93</v>
      </c>
      <c r="B160" s="8">
        <v>44569</v>
      </c>
      <c r="C160" s="9" t="s">
        <v>17</v>
      </c>
      <c r="D160" s="9" t="s">
        <v>15</v>
      </c>
      <c r="E160" s="7">
        <v>1</v>
      </c>
      <c r="F160" s="10">
        <v>81950.958653971567</v>
      </c>
      <c r="G160" s="10">
        <v>4212934.8824833697</v>
      </c>
      <c r="H160" s="7"/>
      <c r="I160" s="11" t="s">
        <v>25</v>
      </c>
      <c r="J160" s="11" t="s">
        <v>95</v>
      </c>
    </row>
    <row r="161" spans="1:11" x14ac:dyDescent="0.25">
      <c r="A161" s="7" t="s">
        <v>93</v>
      </c>
      <c r="B161" s="8">
        <v>44569</v>
      </c>
      <c r="C161" s="9" t="s">
        <v>89</v>
      </c>
      <c r="D161" s="12" t="s">
        <v>15</v>
      </c>
      <c r="E161" s="7">
        <v>1</v>
      </c>
      <c r="F161" s="10">
        <v>81950.958653971567</v>
      </c>
      <c r="G161" s="10">
        <v>104757943.60800774</v>
      </c>
      <c r="H161" s="7"/>
      <c r="I161" s="16" t="s">
        <v>30</v>
      </c>
      <c r="J161" s="11">
        <v>6603046403.0132427</v>
      </c>
    </row>
    <row r="162" spans="1:11" x14ac:dyDescent="0.25">
      <c r="A162" s="7" t="s">
        <v>93</v>
      </c>
      <c r="B162" s="8">
        <v>44569</v>
      </c>
      <c r="C162" s="9" t="s">
        <v>19</v>
      </c>
      <c r="D162" s="9" t="s">
        <v>20</v>
      </c>
      <c r="E162" s="7">
        <v>9</v>
      </c>
      <c r="F162" s="10">
        <v>737558.62788574421</v>
      </c>
      <c r="G162" s="10">
        <v>2648839.2680463502</v>
      </c>
      <c r="H162" s="7"/>
      <c r="I162" s="16" t="s">
        <v>32</v>
      </c>
      <c r="J162" s="11">
        <v>190311877.61410379</v>
      </c>
    </row>
    <row r="163" spans="1:11" x14ac:dyDescent="0.25">
      <c r="A163" s="7" t="s">
        <v>93</v>
      </c>
      <c r="B163" s="8">
        <v>44569</v>
      </c>
      <c r="C163" s="9" t="s">
        <v>52</v>
      </c>
      <c r="D163" s="9" t="s">
        <v>24</v>
      </c>
      <c r="E163" s="7">
        <v>1</v>
      </c>
      <c r="F163" s="10">
        <v>81950.958653971567</v>
      </c>
      <c r="G163" s="10">
        <v>20544391.527291086</v>
      </c>
      <c r="H163" s="7"/>
      <c r="I163" s="16" t="s">
        <v>15</v>
      </c>
      <c r="J163" s="11">
        <v>113163039.62200676</v>
      </c>
    </row>
    <row r="164" spans="1:11" x14ac:dyDescent="0.25">
      <c r="A164" s="7" t="s">
        <v>93</v>
      </c>
      <c r="B164" s="8">
        <v>44569</v>
      </c>
      <c r="C164" s="9" t="s">
        <v>27</v>
      </c>
      <c r="D164" s="9" t="s">
        <v>28</v>
      </c>
      <c r="E164" s="7">
        <v>124</v>
      </c>
      <c r="F164" s="10">
        <v>10161918.873092474</v>
      </c>
      <c r="G164" s="10">
        <v>3878836.7995710084</v>
      </c>
      <c r="H164" s="7"/>
      <c r="I164" s="16" t="s">
        <v>28</v>
      </c>
      <c r="J164" s="11">
        <v>21938496.003149115</v>
      </c>
    </row>
    <row r="165" spans="1:11" x14ac:dyDescent="0.25">
      <c r="A165" s="7" t="s">
        <v>93</v>
      </c>
      <c r="B165" s="8">
        <v>44569</v>
      </c>
      <c r="C165" s="9" t="s">
        <v>29</v>
      </c>
      <c r="D165" s="9" t="s">
        <v>28</v>
      </c>
      <c r="E165" s="7">
        <v>4</v>
      </c>
      <c r="F165" s="10">
        <v>327803.83461588627</v>
      </c>
      <c r="G165" s="10">
        <v>1177261.8969094888</v>
      </c>
      <c r="H165" s="7"/>
      <c r="I165" s="16" t="s">
        <v>24</v>
      </c>
      <c r="J165" s="11">
        <v>20544391.527291086</v>
      </c>
    </row>
    <row r="166" spans="1:11" x14ac:dyDescent="0.25">
      <c r="A166" s="7" t="s">
        <v>93</v>
      </c>
      <c r="B166" s="8">
        <v>44569</v>
      </c>
      <c r="C166" s="9" t="s">
        <v>31</v>
      </c>
      <c r="D166" s="9" t="s">
        <v>28</v>
      </c>
      <c r="E166" s="7">
        <v>14</v>
      </c>
      <c r="F166" s="10">
        <v>1147313.421155602</v>
      </c>
      <c r="G166" s="10">
        <v>437933.18704833963</v>
      </c>
      <c r="H166" s="7"/>
      <c r="I166" s="16" t="s">
        <v>60</v>
      </c>
      <c r="J166" s="11">
        <v>4346978.1939172149</v>
      </c>
    </row>
    <row r="167" spans="1:11" x14ac:dyDescent="0.25">
      <c r="A167" s="7" t="s">
        <v>93</v>
      </c>
      <c r="B167" s="8">
        <v>44569</v>
      </c>
      <c r="C167" s="9" t="s">
        <v>33</v>
      </c>
      <c r="D167" s="9" t="s">
        <v>28</v>
      </c>
      <c r="E167" s="7">
        <v>730</v>
      </c>
      <c r="F167" s="10">
        <v>59824199.817399248</v>
      </c>
      <c r="G167" s="10">
        <v>16037811.874503961</v>
      </c>
      <c r="H167" s="7"/>
      <c r="I167" s="16" t="s">
        <v>20</v>
      </c>
      <c r="J167" s="11">
        <v>2648839.2680463502</v>
      </c>
    </row>
    <row r="168" spans="1:11" x14ac:dyDescent="0.25">
      <c r="A168" s="7" t="s">
        <v>93</v>
      </c>
      <c r="B168" s="8">
        <v>44569</v>
      </c>
      <c r="C168" s="12" t="s">
        <v>39</v>
      </c>
      <c r="D168" s="12" t="s">
        <v>28</v>
      </c>
      <c r="E168" s="7">
        <v>13</v>
      </c>
      <c r="F168" s="10">
        <v>1065362.4625016304</v>
      </c>
      <c r="G168" s="10">
        <v>406652.24511631537</v>
      </c>
      <c r="H168" s="7"/>
      <c r="I168" s="16" t="s">
        <v>37</v>
      </c>
      <c r="J168" s="11">
        <v>6956000025.2417564</v>
      </c>
      <c r="K168" s="11"/>
    </row>
    <row r="169" spans="1:11" x14ac:dyDescent="0.25">
      <c r="A169" s="7" t="s">
        <v>93</v>
      </c>
      <c r="B169" s="8">
        <v>44569</v>
      </c>
      <c r="C169" s="9" t="s">
        <v>61</v>
      </c>
      <c r="D169" s="9" t="s">
        <v>60</v>
      </c>
      <c r="E169" s="7">
        <v>2</v>
      </c>
      <c r="F169" s="10">
        <v>163901.91730794313</v>
      </c>
      <c r="G169" s="10">
        <v>4346978.1939172149</v>
      </c>
      <c r="H169" s="7"/>
      <c r="I169" s="11"/>
      <c r="J169" s="11"/>
      <c r="K169" s="11"/>
    </row>
    <row r="170" spans="1:11" x14ac:dyDescent="0.25">
      <c r="A170" s="7" t="s">
        <v>93</v>
      </c>
      <c r="B170" s="8">
        <v>44569</v>
      </c>
      <c r="C170" s="9" t="s">
        <v>40</v>
      </c>
      <c r="D170" s="9" t="s">
        <v>32</v>
      </c>
      <c r="E170" s="7">
        <v>19</v>
      </c>
      <c r="F170" s="10">
        <v>1557068.2144254597</v>
      </c>
      <c r="G170" s="10">
        <v>143175917.78923598</v>
      </c>
      <c r="H170" s="7"/>
      <c r="I170" s="11"/>
      <c r="J170" s="11"/>
      <c r="K170" s="11"/>
    </row>
    <row r="171" spans="1:11" x14ac:dyDescent="0.25">
      <c r="A171" s="7" t="s">
        <v>93</v>
      </c>
      <c r="B171" s="8">
        <v>44569</v>
      </c>
      <c r="C171" s="9" t="s">
        <v>41</v>
      </c>
      <c r="D171" s="9" t="s">
        <v>32</v>
      </c>
      <c r="E171" s="7">
        <v>4</v>
      </c>
      <c r="F171" s="10">
        <v>327803.83461588627</v>
      </c>
      <c r="G171" s="10">
        <v>47135959.82486783</v>
      </c>
      <c r="H171" s="7"/>
      <c r="I171" s="11"/>
      <c r="J171" s="11"/>
      <c r="K171" s="11"/>
    </row>
    <row r="172" spans="1:11" x14ac:dyDescent="0.25">
      <c r="A172" s="7" t="s">
        <v>93</v>
      </c>
      <c r="B172" s="8">
        <v>44569</v>
      </c>
      <c r="C172" s="9" t="s">
        <v>56</v>
      </c>
      <c r="D172" s="9" t="s">
        <v>30</v>
      </c>
      <c r="E172" s="7">
        <v>1</v>
      </c>
      <c r="F172" s="10">
        <v>81950.958653971567</v>
      </c>
      <c r="G172" s="10">
        <v>6603046403.0132427</v>
      </c>
      <c r="H172" s="7"/>
      <c r="I172" s="11"/>
      <c r="J172" s="11"/>
      <c r="K172" s="11"/>
    </row>
    <row r="173" spans="1:11" x14ac:dyDescent="0.25">
      <c r="A173" s="7"/>
      <c r="B173" s="8"/>
      <c r="C173" s="18" t="s">
        <v>43</v>
      </c>
      <c r="E173" s="7">
        <v>927</v>
      </c>
      <c r="F173" s="10">
        <v>75968538.672231644</v>
      </c>
      <c r="G173" s="10">
        <v>6978404903.3544521</v>
      </c>
      <c r="H173" s="7"/>
      <c r="I173" s="11"/>
      <c r="J173" s="11"/>
      <c r="K173" s="11"/>
    </row>
    <row r="174" spans="1:11" x14ac:dyDescent="0.25">
      <c r="H174" s="7"/>
      <c r="I174" s="74" t="s">
        <v>96</v>
      </c>
      <c r="J174" s="74"/>
    </row>
    <row r="175" spans="1:11" x14ac:dyDescent="0.25">
      <c r="A175" s="7" t="s">
        <v>97</v>
      </c>
      <c r="B175" s="8">
        <v>44628</v>
      </c>
      <c r="C175" s="9" t="s">
        <v>46</v>
      </c>
      <c r="D175" s="9" t="s">
        <v>15</v>
      </c>
      <c r="E175" s="7">
        <v>1</v>
      </c>
      <c r="F175" s="10">
        <v>27316.986217990525</v>
      </c>
      <c r="G175" s="10">
        <v>2489430.901410589</v>
      </c>
      <c r="I175" s="11" t="s">
        <v>25</v>
      </c>
      <c r="J175" s="11" t="s">
        <v>98</v>
      </c>
    </row>
    <row r="176" spans="1:11" x14ac:dyDescent="0.25">
      <c r="A176" s="7" t="s">
        <v>97</v>
      </c>
      <c r="B176" s="8">
        <v>44628</v>
      </c>
      <c r="C176" s="12" t="s">
        <v>16</v>
      </c>
      <c r="D176" s="12" t="s">
        <v>15</v>
      </c>
      <c r="E176" s="7">
        <v>4</v>
      </c>
      <c r="F176" s="10">
        <v>109267.9448719621</v>
      </c>
      <c r="G176" s="10">
        <v>56256835.990839921</v>
      </c>
      <c r="H176" s="7"/>
      <c r="I176" s="16" t="s">
        <v>30</v>
      </c>
      <c r="J176" s="11">
        <v>35861729504.957695</v>
      </c>
      <c r="K176" s="13"/>
    </row>
    <row r="177" spans="1:11" x14ac:dyDescent="0.25">
      <c r="A177" s="7" t="s">
        <v>97</v>
      </c>
      <c r="B177" s="8">
        <v>44628</v>
      </c>
      <c r="C177" s="9" t="s">
        <v>19</v>
      </c>
      <c r="D177" s="9" t="s">
        <v>20</v>
      </c>
      <c r="E177" s="7">
        <v>13</v>
      </c>
      <c r="F177" s="10">
        <v>355120.82083387685</v>
      </c>
      <c r="G177" s="10">
        <v>1275367.0549852799</v>
      </c>
      <c r="H177" s="7"/>
      <c r="I177" s="16" t="s">
        <v>15</v>
      </c>
      <c r="J177" s="11">
        <v>56256835.990839921</v>
      </c>
      <c r="K177" s="13"/>
    </row>
    <row r="178" spans="1:11" x14ac:dyDescent="0.25">
      <c r="A178" s="7" t="s">
        <v>97</v>
      </c>
      <c r="B178" s="8">
        <v>44628</v>
      </c>
      <c r="C178" s="12" t="s">
        <v>21</v>
      </c>
      <c r="D178" s="12" t="s">
        <v>20</v>
      </c>
      <c r="E178" s="7">
        <v>2</v>
      </c>
      <c r="F178" s="10">
        <v>54633.97243598105</v>
      </c>
      <c r="G178" s="10">
        <v>16082008.541431241</v>
      </c>
      <c r="H178" s="7"/>
      <c r="I178" s="16" t="s">
        <v>32</v>
      </c>
      <c r="J178" s="11">
        <v>22606723.861458316</v>
      </c>
      <c r="K178" s="11"/>
    </row>
    <row r="179" spans="1:11" x14ac:dyDescent="0.25">
      <c r="A179" s="7" t="s">
        <v>97</v>
      </c>
      <c r="B179" s="8">
        <v>44628</v>
      </c>
      <c r="C179" s="9" t="s">
        <v>23</v>
      </c>
      <c r="D179" s="9" t="s">
        <v>24</v>
      </c>
      <c r="E179" s="7">
        <v>2</v>
      </c>
      <c r="F179" s="10">
        <v>54633.97243598105</v>
      </c>
      <c r="G179" s="10">
        <v>8693956.3878344316</v>
      </c>
      <c r="H179" s="7"/>
      <c r="I179" s="16" t="s">
        <v>20</v>
      </c>
      <c r="J179" s="11">
        <v>17357375.596416522</v>
      </c>
      <c r="K179" s="11"/>
    </row>
    <row r="180" spans="1:11" x14ac:dyDescent="0.25">
      <c r="A180" s="7" t="s">
        <v>97</v>
      </c>
      <c r="B180" s="8">
        <v>44628</v>
      </c>
      <c r="C180" s="9" t="s">
        <v>27</v>
      </c>
      <c r="D180" s="9" t="s">
        <v>28</v>
      </c>
      <c r="E180" s="7">
        <v>274</v>
      </c>
      <c r="F180" s="10">
        <v>7484854.2237294037</v>
      </c>
      <c r="G180" s="10">
        <v>2856992.6964582158</v>
      </c>
      <c r="H180" s="7"/>
      <c r="I180" s="16" t="s">
        <v>28</v>
      </c>
      <c r="J180" s="11">
        <v>15487491.855617084</v>
      </c>
      <c r="K180" s="11"/>
    </row>
    <row r="181" spans="1:11" x14ac:dyDescent="0.25">
      <c r="A181" s="7" t="s">
        <v>97</v>
      </c>
      <c r="B181" s="8">
        <v>44628</v>
      </c>
      <c r="C181" s="9" t="s">
        <v>29</v>
      </c>
      <c r="D181" s="9" t="s">
        <v>28</v>
      </c>
      <c r="E181" s="7">
        <v>2</v>
      </c>
      <c r="F181" s="10">
        <v>54633.97243598105</v>
      </c>
      <c r="G181" s="10">
        <v>196210.3161515815</v>
      </c>
      <c r="H181" s="7"/>
      <c r="I181" s="16" t="s">
        <v>60</v>
      </c>
      <c r="J181" s="11">
        <v>9418452.7534873001</v>
      </c>
      <c r="K181" s="11"/>
    </row>
    <row r="182" spans="1:11" x14ac:dyDescent="0.25">
      <c r="A182" s="7" t="s">
        <v>97</v>
      </c>
      <c r="B182" s="8">
        <v>44628</v>
      </c>
      <c r="C182" s="9" t="s">
        <v>33</v>
      </c>
      <c r="D182" s="9" t="s">
        <v>28</v>
      </c>
      <c r="E182" s="7">
        <v>664</v>
      </c>
      <c r="F182" s="10">
        <v>18138478.848745707</v>
      </c>
      <c r="G182" s="10">
        <v>4862605.9747354472</v>
      </c>
      <c r="H182" s="7"/>
      <c r="I182" s="16" t="s">
        <v>24</v>
      </c>
      <c r="J182" s="11">
        <v>8693956.3878344316</v>
      </c>
      <c r="K182" s="11"/>
    </row>
    <row r="183" spans="1:11" x14ac:dyDescent="0.25">
      <c r="A183" s="7" t="s">
        <v>97</v>
      </c>
      <c r="B183" s="8">
        <v>44628</v>
      </c>
      <c r="C183" s="9" t="s">
        <v>79</v>
      </c>
      <c r="D183" s="9" t="s">
        <v>28</v>
      </c>
      <c r="E183" s="7">
        <v>25</v>
      </c>
      <c r="F183" s="10">
        <v>682924.65544976317</v>
      </c>
      <c r="G183" s="10">
        <v>3678943.4278421537</v>
      </c>
      <c r="H183" s="7"/>
      <c r="I183" s="16" t="s">
        <v>37</v>
      </c>
      <c r="J183" s="11">
        <v>35991550341.403343</v>
      </c>
      <c r="K183" s="11"/>
    </row>
    <row r="184" spans="1:11" x14ac:dyDescent="0.25">
      <c r="A184" s="7" t="s">
        <v>97</v>
      </c>
      <c r="B184" s="8">
        <v>44628</v>
      </c>
      <c r="C184" s="9" t="s">
        <v>38</v>
      </c>
      <c r="D184" s="9" t="s">
        <v>28</v>
      </c>
      <c r="E184" s="7">
        <v>80</v>
      </c>
      <c r="F184" s="10">
        <v>2185358.8974392419</v>
      </c>
      <c r="G184" s="10">
        <v>3892739.4404296852</v>
      </c>
      <c r="H184" s="7"/>
      <c r="I184" s="11"/>
      <c r="J184" s="11"/>
      <c r="K184" s="11"/>
    </row>
    <row r="185" spans="1:11" x14ac:dyDescent="0.25">
      <c r="A185" s="7" t="s">
        <v>97</v>
      </c>
      <c r="B185" s="8">
        <v>44628</v>
      </c>
      <c r="C185" s="9" t="s">
        <v>61</v>
      </c>
      <c r="D185" s="9" t="s">
        <v>60</v>
      </c>
      <c r="E185" s="7">
        <v>13</v>
      </c>
      <c r="F185" s="10">
        <v>355120.82083387685</v>
      </c>
      <c r="G185" s="10">
        <v>9418452.7534873001</v>
      </c>
      <c r="H185" s="7"/>
      <c r="I185" s="11"/>
      <c r="J185" s="11"/>
      <c r="K185" s="11"/>
    </row>
    <row r="186" spans="1:11" x14ac:dyDescent="0.25">
      <c r="A186" s="7" t="s">
        <v>97</v>
      </c>
      <c r="B186" s="8">
        <v>44628</v>
      </c>
      <c r="C186" s="9" t="s">
        <v>40</v>
      </c>
      <c r="D186" s="9" t="s">
        <v>32</v>
      </c>
      <c r="E186" s="7">
        <v>9</v>
      </c>
      <c r="F186" s="10">
        <v>245852.87596191472</v>
      </c>
      <c r="G186" s="10">
        <v>22606723.861458316</v>
      </c>
      <c r="H186" s="7"/>
      <c r="I186" s="11"/>
      <c r="J186" s="11"/>
      <c r="K186" s="11"/>
    </row>
    <row r="187" spans="1:11" x14ac:dyDescent="0.25">
      <c r="A187" s="7" t="s">
        <v>97</v>
      </c>
      <c r="B187" s="8">
        <v>44628</v>
      </c>
      <c r="C187" s="9" t="s">
        <v>42</v>
      </c>
      <c r="D187" s="9" t="s">
        <v>30</v>
      </c>
      <c r="E187" s="7">
        <v>3</v>
      </c>
      <c r="F187" s="10">
        <v>81950.958653971582</v>
      </c>
      <c r="G187" s="10">
        <v>75302109.473153219</v>
      </c>
      <c r="H187" s="7"/>
      <c r="I187" s="11"/>
      <c r="J187" s="11"/>
      <c r="K187" s="11"/>
    </row>
    <row r="188" spans="1:11" x14ac:dyDescent="0.25">
      <c r="A188" s="7" t="s">
        <v>97</v>
      </c>
      <c r="B188" s="8">
        <v>44628</v>
      </c>
      <c r="C188" s="9" t="s">
        <v>56</v>
      </c>
      <c r="D188" s="9" t="s">
        <v>30</v>
      </c>
      <c r="E188" s="7">
        <v>18</v>
      </c>
      <c r="F188" s="10">
        <v>491705.75192382943</v>
      </c>
      <c r="G188" s="10">
        <v>35786427395.484543</v>
      </c>
      <c r="H188" s="7"/>
      <c r="I188" s="11"/>
      <c r="J188" s="11"/>
      <c r="K188" s="11"/>
    </row>
    <row r="189" spans="1:11" x14ac:dyDescent="0.25">
      <c r="A189" s="7"/>
      <c r="B189" s="8"/>
      <c r="C189" s="18" t="s">
        <v>43</v>
      </c>
      <c r="E189" s="7">
        <v>1110</v>
      </c>
      <c r="F189" s="10">
        <v>30321854.701969482</v>
      </c>
      <c r="G189" s="10">
        <v>35994039772.304764</v>
      </c>
      <c r="H189" s="7"/>
      <c r="I189" s="11"/>
      <c r="J189" s="11"/>
      <c r="K189" s="11"/>
    </row>
    <row r="190" spans="1:11" x14ac:dyDescent="0.25">
      <c r="H190" s="7"/>
    </row>
    <row r="191" spans="1:11" x14ac:dyDescent="0.25">
      <c r="A191" s="22" t="s">
        <v>86</v>
      </c>
      <c r="B191" s="8">
        <v>44569</v>
      </c>
      <c r="C191" s="12" t="s">
        <v>99</v>
      </c>
      <c r="D191" s="12" t="s">
        <v>15</v>
      </c>
      <c r="E191" s="7">
        <v>2</v>
      </c>
      <c r="F191" s="10">
        <v>36058.421807747487</v>
      </c>
      <c r="G191" s="10">
        <v>79202974.234795853</v>
      </c>
    </row>
    <row r="192" spans="1:11" x14ac:dyDescent="0.25">
      <c r="A192" s="22" t="s">
        <v>86</v>
      </c>
      <c r="B192" s="8">
        <v>44569</v>
      </c>
      <c r="C192" s="9" t="s">
        <v>46</v>
      </c>
      <c r="D192" s="9" t="s">
        <v>15</v>
      </c>
      <c r="E192" s="7">
        <v>2</v>
      </c>
      <c r="F192" s="10">
        <v>36058.421807747487</v>
      </c>
      <c r="G192" s="10">
        <v>3286048.7898619771</v>
      </c>
      <c r="H192" s="7" t="s">
        <v>63</v>
      </c>
      <c r="I192" s="13"/>
      <c r="J192" s="13"/>
      <c r="K192" s="13"/>
    </row>
    <row r="193" spans="1:11" x14ac:dyDescent="0.25">
      <c r="A193" s="22" t="s">
        <v>86</v>
      </c>
      <c r="B193" s="8">
        <v>44569</v>
      </c>
      <c r="C193" s="9" t="s">
        <v>100</v>
      </c>
      <c r="D193" s="9" t="s">
        <v>15</v>
      </c>
      <c r="E193" s="7">
        <v>1</v>
      </c>
      <c r="F193" s="10">
        <v>18029.210903873744</v>
      </c>
      <c r="G193" s="10">
        <v>6912335.8291347641</v>
      </c>
      <c r="H193" s="7" t="s">
        <v>63</v>
      </c>
      <c r="I193" s="13"/>
      <c r="J193" s="13"/>
      <c r="K193" s="13"/>
    </row>
    <row r="194" spans="1:11" x14ac:dyDescent="0.25">
      <c r="A194" s="22" t="s">
        <v>86</v>
      </c>
      <c r="B194" s="8">
        <v>44569</v>
      </c>
      <c r="C194" s="9" t="s">
        <v>17</v>
      </c>
      <c r="D194" s="9" t="s">
        <v>15</v>
      </c>
      <c r="E194" s="7">
        <v>2</v>
      </c>
      <c r="F194" s="10">
        <v>36058.421807747487</v>
      </c>
      <c r="G194" s="10">
        <v>892013.23868005734</v>
      </c>
      <c r="H194" s="7" t="s">
        <v>63</v>
      </c>
      <c r="I194" s="13"/>
    </row>
    <row r="195" spans="1:11" x14ac:dyDescent="0.25">
      <c r="A195" s="22" t="s">
        <v>86</v>
      </c>
      <c r="B195" s="8">
        <v>44569</v>
      </c>
      <c r="C195" s="12" t="s">
        <v>18</v>
      </c>
      <c r="D195" s="12" t="s">
        <v>15</v>
      </c>
      <c r="E195" s="7">
        <v>1</v>
      </c>
      <c r="F195" s="10">
        <v>18029.210903873744</v>
      </c>
      <c r="G195" s="10">
        <v>1434502.803992681</v>
      </c>
      <c r="H195" s="7" t="s">
        <v>63</v>
      </c>
      <c r="I195" s="11"/>
    </row>
    <row r="196" spans="1:11" x14ac:dyDescent="0.25">
      <c r="A196" s="22" t="s">
        <v>86</v>
      </c>
      <c r="B196" s="8">
        <v>44569</v>
      </c>
      <c r="C196" s="9" t="s">
        <v>85</v>
      </c>
      <c r="D196" s="12" t="s">
        <v>15</v>
      </c>
      <c r="E196" s="7">
        <v>3</v>
      </c>
      <c r="F196" s="10">
        <v>54087.632711621227</v>
      </c>
      <c r="G196" s="10">
        <v>30090680.88172166</v>
      </c>
      <c r="H196" s="7" t="s">
        <v>63</v>
      </c>
      <c r="I196" s="11"/>
    </row>
    <row r="197" spans="1:11" x14ac:dyDescent="0.25">
      <c r="A197" s="22" t="s">
        <v>86</v>
      </c>
      <c r="B197" s="8">
        <v>44569</v>
      </c>
      <c r="C197" s="9" t="s">
        <v>89</v>
      </c>
      <c r="D197" s="12" t="s">
        <v>15</v>
      </c>
      <c r="E197" s="7">
        <v>1</v>
      </c>
      <c r="F197" s="10">
        <v>18029.210903873744</v>
      </c>
      <c r="G197" s="10">
        <v>8607016.8239560854</v>
      </c>
      <c r="H197" s="7" t="s">
        <v>63</v>
      </c>
      <c r="I197" s="11"/>
    </row>
    <row r="198" spans="1:11" x14ac:dyDescent="0.25">
      <c r="A198" s="22" t="s">
        <v>86</v>
      </c>
      <c r="B198" s="8">
        <v>44569</v>
      </c>
      <c r="C198" s="9" t="s">
        <v>19</v>
      </c>
      <c r="D198" s="9" t="s">
        <v>20</v>
      </c>
      <c r="E198" s="7">
        <v>11</v>
      </c>
      <c r="F198" s="10">
        <v>198321.31994261118</v>
      </c>
      <c r="G198" s="10">
        <v>712243.4476302407</v>
      </c>
      <c r="H198" s="7" t="s">
        <v>63</v>
      </c>
      <c r="I198" s="11"/>
      <c r="J198" s="74" t="s">
        <v>101</v>
      </c>
      <c r="K198" s="74"/>
    </row>
    <row r="199" spans="1:11" x14ac:dyDescent="0.25">
      <c r="A199" s="22" t="s">
        <v>86</v>
      </c>
      <c r="B199" s="8">
        <v>44569</v>
      </c>
      <c r="C199" s="9" t="s">
        <v>51</v>
      </c>
      <c r="D199" s="9" t="s">
        <v>20</v>
      </c>
      <c r="E199" s="7">
        <v>1</v>
      </c>
      <c r="F199" s="10">
        <v>18029.210903873744</v>
      </c>
      <c r="G199" s="10">
        <v>207228.30206336788</v>
      </c>
      <c r="H199" s="7" t="s">
        <v>63</v>
      </c>
      <c r="I199" s="11"/>
      <c r="J199" s="11" t="s">
        <v>25</v>
      </c>
      <c r="K199" s="11" t="s">
        <v>102</v>
      </c>
    </row>
    <row r="200" spans="1:11" x14ac:dyDescent="0.25">
      <c r="A200" s="22" t="s">
        <v>86</v>
      </c>
      <c r="B200" s="8">
        <v>44569</v>
      </c>
      <c r="C200" s="12" t="s">
        <v>69</v>
      </c>
      <c r="D200" s="12" t="s">
        <v>24</v>
      </c>
      <c r="E200" s="7">
        <v>1</v>
      </c>
      <c r="F200" s="10">
        <v>18029.210903873744</v>
      </c>
      <c r="G200" s="10">
        <v>6082710.4614013368</v>
      </c>
      <c r="H200" s="7" t="s">
        <v>63</v>
      </c>
      <c r="I200" s="11"/>
      <c r="J200" s="16" t="s">
        <v>30</v>
      </c>
      <c r="K200" s="11">
        <v>2546763257.1407585</v>
      </c>
    </row>
    <row r="201" spans="1:11" x14ac:dyDescent="0.25">
      <c r="A201" s="22" t="s">
        <v>86</v>
      </c>
      <c r="B201" s="8">
        <v>44569</v>
      </c>
      <c r="C201" s="9" t="s">
        <v>23</v>
      </c>
      <c r="D201" s="9" t="s">
        <v>24</v>
      </c>
      <c r="E201" s="7">
        <v>1</v>
      </c>
      <c r="F201" s="10">
        <v>18029.210903873744</v>
      </c>
      <c r="G201" s="10">
        <v>2869005.6079853619</v>
      </c>
      <c r="H201" s="7" t="s">
        <v>63</v>
      </c>
      <c r="I201" s="11"/>
      <c r="J201" s="16" t="s">
        <v>15</v>
      </c>
      <c r="K201" s="11">
        <v>51222598.367347226</v>
      </c>
    </row>
    <row r="202" spans="1:11" x14ac:dyDescent="0.25">
      <c r="A202" s="22" t="s">
        <v>86</v>
      </c>
      <c r="B202" s="8">
        <v>44569</v>
      </c>
      <c r="C202" s="9" t="s">
        <v>29</v>
      </c>
      <c r="D202" s="9" t="s">
        <v>28</v>
      </c>
      <c r="E202" s="7">
        <v>12</v>
      </c>
      <c r="F202" s="10">
        <v>216350.53084648491</v>
      </c>
      <c r="G202" s="10">
        <v>776992.85196026252</v>
      </c>
      <c r="H202" s="7" t="s">
        <v>63</v>
      </c>
      <c r="I202" s="11"/>
      <c r="J202" s="16" t="s">
        <v>32</v>
      </c>
      <c r="K202" s="11">
        <v>36815912.801943347</v>
      </c>
    </row>
    <row r="203" spans="1:11" x14ac:dyDescent="0.25">
      <c r="A203" s="22" t="s">
        <v>86</v>
      </c>
      <c r="B203" s="8">
        <v>44569</v>
      </c>
      <c r="C203" s="9" t="s">
        <v>33</v>
      </c>
      <c r="D203" s="9" t="s">
        <v>28</v>
      </c>
      <c r="E203" s="7">
        <v>512</v>
      </c>
      <c r="F203" s="10">
        <v>9230955.9827833567</v>
      </c>
      <c r="G203" s="10">
        <v>2474656.3418412684</v>
      </c>
      <c r="H203" s="7" t="s">
        <v>63</v>
      </c>
      <c r="I203" s="11"/>
      <c r="J203" s="16" t="s">
        <v>24</v>
      </c>
      <c r="K203" s="11">
        <v>8951716.0693866983</v>
      </c>
    </row>
    <row r="204" spans="1:11" x14ac:dyDescent="0.25">
      <c r="A204" s="22" t="s">
        <v>86</v>
      </c>
      <c r="B204" s="8">
        <v>44569</v>
      </c>
      <c r="C204" s="9" t="s">
        <v>59</v>
      </c>
      <c r="D204" s="9" t="s">
        <v>28</v>
      </c>
      <c r="E204" s="7">
        <v>13</v>
      </c>
      <c r="F204" s="10">
        <v>234379.74175035863</v>
      </c>
      <c r="G204" s="10">
        <v>964401.73801679572</v>
      </c>
      <c r="H204" s="7" t="s">
        <v>63</v>
      </c>
      <c r="I204" s="11"/>
      <c r="J204" s="16" t="s">
        <v>28</v>
      </c>
      <c r="K204" s="11">
        <v>4567023.1002956377</v>
      </c>
    </row>
    <row r="205" spans="1:11" x14ac:dyDescent="0.25">
      <c r="A205" s="22" t="s">
        <v>86</v>
      </c>
      <c r="B205" s="8">
        <v>44569</v>
      </c>
      <c r="C205" s="12" t="s">
        <v>39</v>
      </c>
      <c r="D205" s="12" t="s">
        <v>28</v>
      </c>
      <c r="E205" s="7">
        <v>51</v>
      </c>
      <c r="F205" s="10">
        <v>919489.75609756086</v>
      </c>
      <c r="G205" s="10">
        <v>350972.16847731214</v>
      </c>
      <c r="H205" s="7" t="s">
        <v>63</v>
      </c>
      <c r="I205" s="11"/>
      <c r="J205" s="16" t="s">
        <v>60</v>
      </c>
      <c r="K205" s="11">
        <v>1434502.8039926807</v>
      </c>
    </row>
    <row r="206" spans="1:11" x14ac:dyDescent="0.25">
      <c r="A206" s="22" t="s">
        <v>86</v>
      </c>
      <c r="B206" s="8">
        <v>44569</v>
      </c>
      <c r="C206" s="9" t="s">
        <v>61</v>
      </c>
      <c r="D206" s="9" t="s">
        <v>60</v>
      </c>
      <c r="E206" s="7">
        <v>3</v>
      </c>
      <c r="F206" s="10">
        <v>54087.632711621227</v>
      </c>
      <c r="G206" s="10">
        <v>1434502.8039926807</v>
      </c>
      <c r="H206" s="7" t="s">
        <v>63</v>
      </c>
      <c r="I206" s="11"/>
      <c r="J206" s="16" t="s">
        <v>20</v>
      </c>
      <c r="K206" s="11">
        <v>919471.74969360861</v>
      </c>
    </row>
    <row r="207" spans="1:11" x14ac:dyDescent="0.25">
      <c r="A207" s="22" t="s">
        <v>86</v>
      </c>
      <c r="B207" s="8">
        <v>44569</v>
      </c>
      <c r="C207" s="9" t="s">
        <v>40</v>
      </c>
      <c r="D207" s="9" t="s">
        <v>32</v>
      </c>
      <c r="E207" s="7">
        <v>17</v>
      </c>
      <c r="F207" s="10">
        <v>306496.58536585362</v>
      </c>
      <c r="G207" s="10">
        <v>28183049.080618028</v>
      </c>
      <c r="H207" s="7" t="s">
        <v>63</v>
      </c>
      <c r="I207" s="11"/>
      <c r="J207" s="16" t="s">
        <v>37</v>
      </c>
      <c r="K207" s="11">
        <v>2650674482.0334177</v>
      </c>
    </row>
    <row r="208" spans="1:11" x14ac:dyDescent="0.25">
      <c r="A208" s="22" t="s">
        <v>86</v>
      </c>
      <c r="B208" s="8">
        <v>44569</v>
      </c>
      <c r="C208" s="9" t="s">
        <v>41</v>
      </c>
      <c r="D208" s="9" t="s">
        <v>32</v>
      </c>
      <c r="E208" s="7">
        <v>2</v>
      </c>
      <c r="F208" s="10">
        <v>36058.421807747487</v>
      </c>
      <c r="G208" s="10">
        <v>8632863.721325323</v>
      </c>
      <c r="H208" s="7" t="s">
        <v>63</v>
      </c>
      <c r="I208" s="11"/>
      <c r="J208" s="11"/>
      <c r="K208" s="11"/>
    </row>
    <row r="209" spans="1:11" x14ac:dyDescent="0.25">
      <c r="A209" s="22" t="s">
        <v>86</v>
      </c>
      <c r="B209" s="8">
        <v>44569</v>
      </c>
      <c r="C209" s="9" t="s">
        <v>56</v>
      </c>
      <c r="D209" s="9" t="s">
        <v>30</v>
      </c>
      <c r="E209" s="7">
        <v>4</v>
      </c>
      <c r="F209" s="10">
        <v>72116.843615494974</v>
      </c>
      <c r="G209" s="10">
        <v>2546763257.1407585</v>
      </c>
      <c r="H209" s="7" t="s">
        <v>63</v>
      </c>
      <c r="I209" s="11"/>
      <c r="J209" s="11"/>
      <c r="K209" s="11"/>
    </row>
    <row r="210" spans="1:11" x14ac:dyDescent="0.25">
      <c r="A210" s="7"/>
      <c r="B210" s="8"/>
      <c r="C210" s="18" t="s">
        <v>43</v>
      </c>
      <c r="E210" s="7">
        <v>640</v>
      </c>
      <c r="F210" s="10">
        <v>11538694.978479195</v>
      </c>
      <c r="G210" s="10">
        <v>2729877456.2682137</v>
      </c>
      <c r="H210" s="7" t="s">
        <v>63</v>
      </c>
      <c r="I210" s="11"/>
      <c r="J210" s="11"/>
      <c r="K210" s="11"/>
    </row>
    <row r="211" spans="1:11" x14ac:dyDescent="0.25">
      <c r="H211" s="7"/>
    </row>
  </sheetData>
  <sortState xmlns:xlrd2="http://schemas.microsoft.com/office/spreadsheetml/2017/richdata2" ref="Q8:R15">
    <sortCondition ref="Q8:Q15"/>
  </sortState>
  <mergeCells count="23">
    <mergeCell ref="AI6:AJ6"/>
    <mergeCell ref="AG6:AH6"/>
    <mergeCell ref="W6:X6"/>
    <mergeCell ref="Y6:Z6"/>
    <mergeCell ref="AA6:AB6"/>
    <mergeCell ref="AC6:AD6"/>
    <mergeCell ref="AE6:AF6"/>
    <mergeCell ref="M6:N6"/>
    <mergeCell ref="Q6:R6"/>
    <mergeCell ref="S6:T6"/>
    <mergeCell ref="U6:V6"/>
    <mergeCell ref="J198:K198"/>
    <mergeCell ref="I95:J95"/>
    <mergeCell ref="I108:J108"/>
    <mergeCell ref="H123:I123"/>
    <mergeCell ref="J142:K142"/>
    <mergeCell ref="I159:J159"/>
    <mergeCell ref="I174:J174"/>
    <mergeCell ref="H7:I7"/>
    <mergeCell ref="H25:I25"/>
    <mergeCell ref="I48:J48"/>
    <mergeCell ref="J65:K65"/>
    <mergeCell ref="I78:J78"/>
  </mergeCells>
  <pageMargins left="0.7" right="0.7" top="0.75" bottom="0.75" header="0.3" footer="0.3"/>
  <pageSetup orientation="portrait" r:id="rId22"/>
  <drawing r:id="rId23"/>
  <tableParts count="1">
    <tablePart r:id="rId2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5BA71-6051-47BB-985C-426A349EEE2D}">
  <sheetPr codeName="Sheet8"/>
  <dimension ref="A1"/>
  <sheetViews>
    <sheetView zoomScale="85" zoomScaleNormal="85" workbookViewId="0">
      <selection activeCell="M47" sqref="M47"/>
    </sheetView>
  </sheetViews>
  <sheetFormatPr defaultColWidth="9.140625" defaultRowHeight="12.75" x14ac:dyDescent="0.2"/>
  <cols>
    <col min="1" max="16384" width="9.140625" style="11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02FB-2C2B-4FEE-BC94-73C5E1F3449C}">
  <sheetPr codeName="Sheet10"/>
  <dimension ref="A1:J26"/>
  <sheetViews>
    <sheetView zoomScale="70" zoomScaleNormal="70" workbookViewId="0">
      <selection activeCell="J50" sqref="J50"/>
    </sheetView>
  </sheetViews>
  <sheetFormatPr defaultColWidth="12.28515625" defaultRowHeight="15.75" x14ac:dyDescent="0.25"/>
  <cols>
    <col min="1" max="1" width="15.140625" style="27" bestFit="1" customWidth="1"/>
    <col min="2" max="6" width="12.28515625" style="27"/>
    <col min="7" max="7" width="14" style="27" bestFit="1" customWidth="1"/>
    <col min="8" max="8" width="12.28515625" style="31"/>
    <col min="9" max="9" width="12.28515625" style="27"/>
    <col min="10" max="10" width="44.85546875" style="27" bestFit="1" customWidth="1"/>
    <col min="11" max="16384" width="12.28515625" style="27"/>
  </cols>
  <sheetData>
    <row r="1" spans="1:10" ht="16.350000000000001" customHeight="1" x14ac:dyDescent="0.25">
      <c r="A1" s="77" t="s">
        <v>110</v>
      </c>
      <c r="B1" s="26" t="s">
        <v>111</v>
      </c>
      <c r="C1" s="26" t="s">
        <v>112</v>
      </c>
      <c r="D1" s="26" t="s">
        <v>113</v>
      </c>
      <c r="E1" s="26" t="s">
        <v>114</v>
      </c>
      <c r="F1" s="26" t="s">
        <v>115</v>
      </c>
      <c r="H1" s="26" t="s">
        <v>116</v>
      </c>
      <c r="J1" s="77" t="s">
        <v>117</v>
      </c>
    </row>
    <row r="2" spans="1:10" ht="15" x14ac:dyDescent="0.25">
      <c r="A2" s="77"/>
      <c r="B2" s="28" t="s">
        <v>118</v>
      </c>
      <c r="C2" s="28" t="s">
        <v>118</v>
      </c>
      <c r="D2" s="28" t="s">
        <v>118</v>
      </c>
      <c r="E2" s="28" t="s">
        <v>118</v>
      </c>
      <c r="F2" s="28" t="s">
        <v>119</v>
      </c>
      <c r="H2" s="28" t="s">
        <v>118</v>
      </c>
      <c r="J2" s="77"/>
    </row>
    <row r="3" spans="1:10" ht="15" x14ac:dyDescent="0.25">
      <c r="A3" s="27" t="s">
        <v>120</v>
      </c>
      <c r="B3" s="29">
        <v>9.2088491663400571</v>
      </c>
      <c r="C3" s="29">
        <f t="shared" ref="C3:C8" si="0">B3*0.12</f>
        <v>1.1050618999608068</v>
      </c>
      <c r="D3" s="29">
        <v>5.58</v>
      </c>
      <c r="E3" s="29">
        <f t="shared" ref="E3:E8" si="1">D3-C3</f>
        <v>4.4749381000391928</v>
      </c>
      <c r="F3" s="29">
        <f t="shared" ref="F3:F8" si="2">E3/H3</f>
        <v>9.1325267347738635</v>
      </c>
      <c r="H3" s="30">
        <v>0.49</v>
      </c>
    </row>
    <row r="4" spans="1:10" ht="15" x14ac:dyDescent="0.25">
      <c r="A4" s="27" t="s">
        <v>107</v>
      </c>
      <c r="B4" s="29">
        <v>9.0241698218879094</v>
      </c>
      <c r="C4" s="29">
        <f t="shared" si="0"/>
        <v>1.082900378626549</v>
      </c>
      <c r="D4" s="29">
        <v>2.2000000000000002</v>
      </c>
      <c r="E4" s="29">
        <f t="shared" si="1"/>
        <v>1.1170996213734512</v>
      </c>
      <c r="F4" s="29">
        <f t="shared" si="2"/>
        <v>12.412218015260569</v>
      </c>
      <c r="H4" s="30">
        <v>0.09</v>
      </c>
    </row>
    <row r="5" spans="1:10" ht="15" x14ac:dyDescent="0.25">
      <c r="A5" s="27" t="s">
        <v>121</v>
      </c>
      <c r="B5" s="29">
        <v>37.16086422626411</v>
      </c>
      <c r="C5" s="29">
        <f t="shared" si="0"/>
        <v>4.459303707151693</v>
      </c>
      <c r="D5" s="29">
        <v>7.35</v>
      </c>
      <c r="E5" s="29">
        <f t="shared" si="1"/>
        <v>2.8906962928483066</v>
      </c>
      <c r="F5" s="29">
        <f t="shared" si="2"/>
        <v>12.568244751514376</v>
      </c>
      <c r="H5" s="30">
        <v>0.23</v>
      </c>
    </row>
    <row r="6" spans="1:10" ht="15" x14ac:dyDescent="0.25">
      <c r="A6" s="27" t="s">
        <v>104</v>
      </c>
      <c r="B6" s="29">
        <v>6.6053542802263445</v>
      </c>
      <c r="C6" s="29">
        <f t="shared" si="0"/>
        <v>0.79264251362716132</v>
      </c>
      <c r="D6" s="29">
        <v>1.41</v>
      </c>
      <c r="E6" s="29">
        <f t="shared" si="1"/>
        <v>0.6173574863728386</v>
      </c>
      <c r="F6" s="29">
        <f t="shared" si="2"/>
        <v>15.433937159320966</v>
      </c>
      <c r="H6" s="30">
        <v>0.04</v>
      </c>
      <c r="J6" s="27" t="s">
        <v>122</v>
      </c>
    </row>
    <row r="7" spans="1:10" ht="15" x14ac:dyDescent="0.25">
      <c r="A7" s="27" t="s">
        <v>123</v>
      </c>
      <c r="B7" s="29">
        <v>14.215409594463097</v>
      </c>
      <c r="C7" s="29">
        <f t="shared" si="0"/>
        <v>1.7058491513355716</v>
      </c>
      <c r="D7" s="29">
        <v>2.81</v>
      </c>
      <c r="E7" s="29">
        <f t="shared" si="1"/>
        <v>1.1041508486644285</v>
      </c>
      <c r="F7" s="29">
        <f t="shared" si="2"/>
        <v>15.773583552348978</v>
      </c>
      <c r="H7" s="30">
        <v>7.0000000000000007E-2</v>
      </c>
    </row>
    <row r="8" spans="1:10" ht="15" x14ac:dyDescent="0.25">
      <c r="A8" s="27" t="s">
        <v>103</v>
      </c>
      <c r="B8" s="29">
        <v>7.9141923443518998</v>
      </c>
      <c r="C8" s="29">
        <f t="shared" si="0"/>
        <v>0.94970308132222792</v>
      </c>
      <c r="D8" s="29">
        <v>1.73</v>
      </c>
      <c r="E8" s="29">
        <f t="shared" si="1"/>
        <v>0.78029691867777207</v>
      </c>
      <c r="F8" s="29">
        <f t="shared" si="2"/>
        <v>19.507422966944301</v>
      </c>
      <c r="H8" s="27">
        <v>0.04</v>
      </c>
    </row>
    <row r="11" spans="1:10" x14ac:dyDescent="0.25">
      <c r="B11" s="26" t="s">
        <v>110</v>
      </c>
      <c r="C11" s="26" t="s">
        <v>116</v>
      </c>
    </row>
    <row r="12" spans="1:10" x14ac:dyDescent="0.25">
      <c r="B12" s="26"/>
      <c r="C12" s="28" t="s">
        <v>118</v>
      </c>
    </row>
    <row r="13" spans="1:10" x14ac:dyDescent="0.25">
      <c r="A13" s="27" t="s">
        <v>107</v>
      </c>
      <c r="C13" s="30">
        <v>0.09</v>
      </c>
    </row>
    <row r="14" spans="1:10" x14ac:dyDescent="0.25">
      <c r="A14" s="27" t="s">
        <v>104</v>
      </c>
      <c r="C14" s="30">
        <v>0.04</v>
      </c>
    </row>
    <row r="15" spans="1:10" x14ac:dyDescent="0.25">
      <c r="A15" s="27" t="s">
        <v>120</v>
      </c>
      <c r="C15" s="30">
        <v>0.49</v>
      </c>
    </row>
    <row r="16" spans="1:10" x14ac:dyDescent="0.25">
      <c r="A16" s="27" t="s">
        <v>103</v>
      </c>
      <c r="C16" s="27" t="s">
        <v>124</v>
      </c>
    </row>
    <row r="17" spans="1:4" x14ac:dyDescent="0.25">
      <c r="A17" s="27" t="s">
        <v>123</v>
      </c>
      <c r="C17" s="30">
        <v>7.0000000000000007E-2</v>
      </c>
    </row>
    <row r="18" spans="1:4" x14ac:dyDescent="0.25">
      <c r="A18" s="27" t="s">
        <v>121</v>
      </c>
      <c r="C18" s="30">
        <v>0.23</v>
      </c>
    </row>
    <row r="19" spans="1:4" ht="16.5" thickBot="1" x14ac:dyDescent="0.3"/>
    <row r="20" spans="1:4" ht="16.5" thickBot="1" x14ac:dyDescent="0.3">
      <c r="B20" s="32" t="s">
        <v>125</v>
      </c>
      <c r="C20" s="32" t="s">
        <v>126</v>
      </c>
      <c r="D20" s="32" t="s">
        <v>127</v>
      </c>
    </row>
    <row r="21" spans="1:4" ht="16.5" thickBot="1" x14ac:dyDescent="0.3">
      <c r="A21" s="27" t="s">
        <v>128</v>
      </c>
      <c r="B21" s="33">
        <v>70.599999999999994</v>
      </c>
      <c r="C21" s="33">
        <v>4.67</v>
      </c>
      <c r="D21" s="33">
        <v>91.9</v>
      </c>
    </row>
    <row r="22" spans="1:4" ht="16.5" thickBot="1" x14ac:dyDescent="0.3">
      <c r="A22" s="27" t="s">
        <v>129</v>
      </c>
      <c r="B22" s="33">
        <v>73.400000000000006</v>
      </c>
      <c r="C22" s="33">
        <v>4.7</v>
      </c>
      <c r="D22" s="33">
        <v>65.3</v>
      </c>
    </row>
    <row r="23" spans="1:4" ht="16.5" thickBot="1" x14ac:dyDescent="0.3">
      <c r="A23" s="27" t="s">
        <v>130</v>
      </c>
      <c r="B23" s="33">
        <v>85</v>
      </c>
      <c r="C23" s="33">
        <v>5.54</v>
      </c>
      <c r="D23" s="33">
        <v>104.2</v>
      </c>
    </row>
    <row r="24" spans="1:4" ht="16.5" thickBot="1" x14ac:dyDescent="0.3">
      <c r="A24" s="27" t="s">
        <v>131</v>
      </c>
      <c r="B24" s="33">
        <v>89.9</v>
      </c>
      <c r="C24" s="33">
        <v>5.9</v>
      </c>
      <c r="D24" s="33">
        <v>114.3</v>
      </c>
    </row>
    <row r="25" spans="1:4" ht="16.5" thickBot="1" x14ac:dyDescent="0.3">
      <c r="A25" s="27" t="s">
        <v>132</v>
      </c>
      <c r="B25" s="33">
        <v>92.9</v>
      </c>
      <c r="C25" s="33">
        <v>6.18</v>
      </c>
      <c r="D25" s="33">
        <v>118.5</v>
      </c>
    </row>
    <row r="26" spans="1:4" ht="16.5" thickBot="1" x14ac:dyDescent="0.3">
      <c r="A26" s="27" t="s">
        <v>133</v>
      </c>
      <c r="B26" s="33">
        <v>115.8</v>
      </c>
      <c r="C26" s="33">
        <v>7.38</v>
      </c>
      <c r="D26" s="33">
        <v>92.3</v>
      </c>
    </row>
  </sheetData>
  <mergeCells count="2">
    <mergeCell ref="A1:A2"/>
    <mergeCell ref="J1:J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3310-4457-47F4-86AA-C02C3D2D6FD9}">
  <sheetPr codeName="Sheet12"/>
  <dimension ref="A1:ER210"/>
  <sheetViews>
    <sheetView zoomScale="79" zoomScaleNormal="79" workbookViewId="0">
      <selection activeCell="D32" sqref="D32"/>
    </sheetView>
  </sheetViews>
  <sheetFormatPr defaultColWidth="8.85546875" defaultRowHeight="15.75" x14ac:dyDescent="0.25"/>
  <cols>
    <col min="1" max="13" width="11.42578125" style="87" customWidth="1"/>
    <col min="14" max="25" width="13.140625" style="87" customWidth="1"/>
    <col min="26" max="31" width="9.85546875" style="88" customWidth="1"/>
    <col min="32" max="40" width="8.85546875" style="89"/>
    <col min="41" max="41" width="9.42578125" style="90" customWidth="1"/>
    <col min="42" max="53" width="8.85546875" style="89"/>
    <col min="54" max="54" width="14.7109375" style="89" customWidth="1"/>
    <col min="55" max="55" width="13.42578125" style="89" customWidth="1"/>
    <col min="56" max="56" width="12" style="89" customWidth="1"/>
    <col min="57" max="57" width="15" style="89" customWidth="1"/>
    <col min="58" max="74" width="8.85546875" style="89"/>
    <col min="75" max="122" width="8.85546875" style="88"/>
    <col min="123" max="16384" width="8.85546875" style="89"/>
  </cols>
  <sheetData>
    <row r="1" spans="1:148" s="84" customFormat="1" ht="189" x14ac:dyDescent="0.25">
      <c r="A1" s="81" t="s">
        <v>612</v>
      </c>
      <c r="B1" s="81" t="s">
        <v>613</v>
      </c>
      <c r="C1" s="81" t="s">
        <v>614</v>
      </c>
      <c r="D1" s="81" t="s">
        <v>615</v>
      </c>
      <c r="E1" s="81" t="s">
        <v>616</v>
      </c>
      <c r="F1" s="81" t="s">
        <v>617</v>
      </c>
      <c r="G1" s="81" t="s">
        <v>618</v>
      </c>
      <c r="H1" s="81" t="s">
        <v>619</v>
      </c>
      <c r="I1" s="81" t="s">
        <v>620</v>
      </c>
      <c r="J1" s="81" t="s">
        <v>621</v>
      </c>
      <c r="K1" s="81" t="s">
        <v>622</v>
      </c>
      <c r="L1" s="81" t="s">
        <v>623</v>
      </c>
      <c r="M1" s="81" t="s">
        <v>624</v>
      </c>
      <c r="N1" s="82" t="s">
        <v>625</v>
      </c>
      <c r="O1" s="82" t="s">
        <v>544</v>
      </c>
      <c r="P1" s="82" t="s">
        <v>545</v>
      </c>
      <c r="Q1" s="82" t="s">
        <v>546</v>
      </c>
      <c r="R1" s="82" t="s">
        <v>547</v>
      </c>
      <c r="S1" s="82" t="s">
        <v>626</v>
      </c>
      <c r="T1" s="82" t="s">
        <v>549</v>
      </c>
      <c r="U1" s="82" t="s">
        <v>550</v>
      </c>
      <c r="V1" s="82" t="s">
        <v>551</v>
      </c>
      <c r="W1" s="82" t="s">
        <v>552</v>
      </c>
      <c r="X1" s="82" t="s">
        <v>553</v>
      </c>
      <c r="Y1" s="81" t="s">
        <v>554</v>
      </c>
      <c r="Z1" s="81" t="s">
        <v>555</v>
      </c>
      <c r="AA1" s="83" t="s">
        <v>556</v>
      </c>
      <c r="AB1" s="83" t="s">
        <v>557</v>
      </c>
      <c r="AC1" s="83" t="s">
        <v>558</v>
      </c>
      <c r="AD1" s="83" t="s">
        <v>559</v>
      </c>
      <c r="AE1" s="81" t="s">
        <v>560</v>
      </c>
      <c r="AF1" s="84" t="s">
        <v>561</v>
      </c>
      <c r="AG1" s="84" t="s">
        <v>562</v>
      </c>
      <c r="AH1" s="84" t="s">
        <v>563</v>
      </c>
      <c r="AI1" s="84" t="s">
        <v>564</v>
      </c>
      <c r="AJ1" s="84" t="s">
        <v>627</v>
      </c>
      <c r="AK1" s="84" t="s">
        <v>628</v>
      </c>
      <c r="AL1" s="84" t="s">
        <v>629</v>
      </c>
      <c r="AM1" s="84" t="s">
        <v>630</v>
      </c>
      <c r="AN1" s="84" t="s">
        <v>631</v>
      </c>
      <c r="AO1" s="85" t="s">
        <v>570</v>
      </c>
      <c r="AP1" s="84" t="s">
        <v>571</v>
      </c>
      <c r="AQ1" s="84" t="s">
        <v>572</v>
      </c>
      <c r="AR1" s="84" t="s">
        <v>573</v>
      </c>
      <c r="AS1" s="84" t="s">
        <v>574</v>
      </c>
      <c r="AT1" s="84" t="s">
        <v>575</v>
      </c>
      <c r="AU1" s="84" t="s">
        <v>576</v>
      </c>
      <c r="AV1" s="84" t="s">
        <v>577</v>
      </c>
      <c r="AW1" s="84" t="s">
        <v>578</v>
      </c>
      <c r="AX1" s="84" t="s">
        <v>579</v>
      </c>
      <c r="AY1" s="84" t="s">
        <v>580</v>
      </c>
      <c r="AZ1" s="84" t="s">
        <v>581</v>
      </c>
      <c r="BA1" s="84" t="s">
        <v>582</v>
      </c>
      <c r="BB1" s="84" t="s">
        <v>583</v>
      </c>
      <c r="BC1" s="86" t="s">
        <v>584</v>
      </c>
      <c r="BD1" s="84" t="s">
        <v>585</v>
      </c>
      <c r="BE1" s="84" t="s">
        <v>586</v>
      </c>
      <c r="BF1" s="84" t="s">
        <v>587</v>
      </c>
      <c r="BG1" s="84" t="s">
        <v>588</v>
      </c>
      <c r="BH1" s="84" t="s">
        <v>589</v>
      </c>
      <c r="BI1" s="84" t="s">
        <v>590</v>
      </c>
      <c r="BJ1" s="84" t="s">
        <v>591</v>
      </c>
      <c r="BK1" s="84" t="s">
        <v>592</v>
      </c>
      <c r="BL1" s="84" t="s">
        <v>593</v>
      </c>
      <c r="BM1" s="84" t="s">
        <v>594</v>
      </c>
      <c r="BN1" s="84" t="s">
        <v>595</v>
      </c>
      <c r="BO1" s="84" t="s">
        <v>596</v>
      </c>
      <c r="BP1" s="84" t="s">
        <v>597</v>
      </c>
      <c r="BQ1" s="84" t="s">
        <v>598</v>
      </c>
      <c r="BR1" s="84" t="s">
        <v>599</v>
      </c>
      <c r="BS1" s="84" t="s">
        <v>600</v>
      </c>
      <c r="BT1" s="84" t="s">
        <v>601</v>
      </c>
      <c r="BU1" s="84" t="s">
        <v>602</v>
      </c>
      <c r="BV1" s="84" t="s">
        <v>603</v>
      </c>
      <c r="BW1" s="83" t="s">
        <v>604</v>
      </c>
      <c r="BX1" s="83" t="s">
        <v>605</v>
      </c>
      <c r="BY1" s="83" t="s">
        <v>606</v>
      </c>
      <c r="BZ1" s="83" t="s">
        <v>607</v>
      </c>
      <c r="CA1" s="83" t="s">
        <v>608</v>
      </c>
      <c r="CB1" s="83" t="s">
        <v>609</v>
      </c>
      <c r="CC1" s="83" t="s">
        <v>610</v>
      </c>
      <c r="CD1" s="83" t="s">
        <v>611</v>
      </c>
      <c r="CE1" s="83" t="s">
        <v>632</v>
      </c>
      <c r="CF1" s="83" t="s">
        <v>316</v>
      </c>
      <c r="CG1" s="83" t="s">
        <v>633</v>
      </c>
      <c r="CH1" s="83" t="s">
        <v>634</v>
      </c>
      <c r="CI1" s="83" t="s">
        <v>635</v>
      </c>
      <c r="CJ1" s="83" t="s">
        <v>636</v>
      </c>
      <c r="CK1" s="83" t="s">
        <v>637</v>
      </c>
      <c r="CL1" s="83" t="s">
        <v>638</v>
      </c>
      <c r="CM1" s="83" t="s">
        <v>639</v>
      </c>
      <c r="CN1" s="83" t="s">
        <v>640</v>
      </c>
      <c r="CO1" s="83" t="s">
        <v>641</v>
      </c>
      <c r="CP1" s="83" t="s">
        <v>642</v>
      </c>
      <c r="CQ1" s="83" t="s">
        <v>643</v>
      </c>
      <c r="CR1" s="83" t="s">
        <v>644</v>
      </c>
      <c r="CS1" s="83" t="s">
        <v>645</v>
      </c>
      <c r="CT1" s="83" t="s">
        <v>646</v>
      </c>
      <c r="CU1" s="83" t="s">
        <v>647</v>
      </c>
      <c r="CV1" s="83" t="s">
        <v>648</v>
      </c>
      <c r="CW1" s="83" t="s">
        <v>649</v>
      </c>
      <c r="CX1" s="83" t="s">
        <v>650</v>
      </c>
      <c r="CY1" s="83" t="s">
        <v>651</v>
      </c>
      <c r="CZ1" s="83" t="s">
        <v>652</v>
      </c>
      <c r="DA1" s="83" t="s">
        <v>653</v>
      </c>
      <c r="DB1" s="83" t="s">
        <v>654</v>
      </c>
      <c r="DC1" s="83" t="s">
        <v>655</v>
      </c>
      <c r="DD1" s="83" t="s">
        <v>656</v>
      </c>
      <c r="DE1" s="83" t="s">
        <v>657</v>
      </c>
      <c r="DF1" s="83" t="s">
        <v>658</v>
      </c>
      <c r="DG1" s="83" t="s">
        <v>659</v>
      </c>
      <c r="DH1" s="83" t="s">
        <v>660</v>
      </c>
      <c r="DI1" s="83" t="s">
        <v>661</v>
      </c>
      <c r="DJ1" s="83" t="s">
        <v>662</v>
      </c>
      <c r="DK1" s="83" t="s">
        <v>663</v>
      </c>
      <c r="DL1" s="83" t="s">
        <v>664</v>
      </c>
      <c r="DM1" s="83" t="s">
        <v>665</v>
      </c>
      <c r="DN1" s="83" t="s">
        <v>666</v>
      </c>
      <c r="DO1" s="83" t="s">
        <v>667</v>
      </c>
      <c r="DP1" s="83" t="s">
        <v>668</v>
      </c>
      <c r="DQ1" s="83" t="s">
        <v>669</v>
      </c>
      <c r="DR1" s="83" t="s">
        <v>670</v>
      </c>
      <c r="DS1" s="84" t="s">
        <v>355</v>
      </c>
      <c r="DT1" s="84" t="s">
        <v>671</v>
      </c>
      <c r="DU1" s="84" t="s">
        <v>357</v>
      </c>
      <c r="DV1" s="84" t="s">
        <v>358</v>
      </c>
      <c r="DW1" s="84" t="s">
        <v>359</v>
      </c>
      <c r="DX1" s="84" t="s">
        <v>360</v>
      </c>
      <c r="DY1" s="84" t="s">
        <v>361</v>
      </c>
      <c r="DZ1" s="84" t="s">
        <v>362</v>
      </c>
      <c r="EA1" s="84" t="s">
        <v>363</v>
      </c>
      <c r="EB1" s="84" t="s">
        <v>364</v>
      </c>
      <c r="EC1" s="84" t="s">
        <v>365</v>
      </c>
      <c r="ED1" s="84" t="s">
        <v>366</v>
      </c>
      <c r="EE1" s="84" t="s">
        <v>367</v>
      </c>
      <c r="EF1" s="84" t="s">
        <v>368</v>
      </c>
      <c r="EG1" s="84" t="s">
        <v>369</v>
      </c>
      <c r="EH1" s="84" t="s">
        <v>370</v>
      </c>
      <c r="EI1" s="84" t="s">
        <v>371</v>
      </c>
      <c r="EJ1" s="84" t="s">
        <v>372</v>
      </c>
      <c r="EK1" s="84" t="s">
        <v>373</v>
      </c>
      <c r="EL1" s="84" t="s">
        <v>374</v>
      </c>
      <c r="EM1" s="84" t="s">
        <v>375</v>
      </c>
      <c r="EN1" s="84" t="s">
        <v>376</v>
      </c>
      <c r="EO1" s="84" t="s">
        <v>377</v>
      </c>
      <c r="EP1" s="84" t="s">
        <v>378</v>
      </c>
      <c r="EQ1" s="84" t="s">
        <v>379</v>
      </c>
      <c r="ER1" s="84" t="s">
        <v>380</v>
      </c>
    </row>
    <row r="2" spans="1:148" x14ac:dyDescent="0.25">
      <c r="A2" s="87">
        <v>400</v>
      </c>
      <c r="B2" s="87">
        <v>0.20808282486355859</v>
      </c>
      <c r="C2" s="87">
        <v>-2.1797999052370476</v>
      </c>
      <c r="D2" s="87">
        <v>-0.5702669354967892</v>
      </c>
      <c r="E2" s="87">
        <v>-1.3627953154913719E-3</v>
      </c>
      <c r="F2" s="87">
        <v>-0.29893635843380623</v>
      </c>
      <c r="G2" s="87">
        <v>-0.24720747299270668</v>
      </c>
      <c r="H2" s="87">
        <v>-6.5505462724480476E-2</v>
      </c>
      <c r="I2" s="87">
        <v>1.5885928017566129</v>
      </c>
      <c r="J2" s="87">
        <v>0.21066325861760074</v>
      </c>
      <c r="K2" s="87">
        <v>0.60590465310467467</v>
      </c>
      <c r="L2" s="87">
        <v>-0.13522674309013444</v>
      </c>
      <c r="M2" s="87">
        <v>0.10694245573570214</v>
      </c>
      <c r="N2" s="87">
        <v>400</v>
      </c>
      <c r="O2" s="87">
        <v>-2.6688867749999998</v>
      </c>
      <c r="P2" s="87">
        <v>0.150414084</v>
      </c>
      <c r="Q2" s="87">
        <v>-0.96626530300000002</v>
      </c>
      <c r="R2" s="87">
        <v>0.10590058199999999</v>
      </c>
      <c r="S2" s="87">
        <v>-0.232582546</v>
      </c>
      <c r="T2" s="87">
        <v>1.0009509620000001</v>
      </c>
      <c r="U2" s="87">
        <v>-0.524017014</v>
      </c>
      <c r="V2" s="87">
        <v>3.7668854980000002</v>
      </c>
      <c r="W2" s="87">
        <v>0.28049533399999999</v>
      </c>
      <c r="X2" s="87">
        <v>-0.95002851899999996</v>
      </c>
      <c r="Y2" s="87">
        <v>-0.12705641600000001</v>
      </c>
      <c r="Z2" s="88">
        <v>-0.20963713</v>
      </c>
      <c r="AA2" s="88">
        <v>-0.52914982600000005</v>
      </c>
      <c r="AB2" s="88">
        <v>-0.31193653999999998</v>
      </c>
      <c r="AC2" s="88">
        <v>-0.39188967299999999</v>
      </c>
      <c r="AD2" s="88">
        <v>-0.37642187500000002</v>
      </c>
      <c r="AE2" s="88">
        <v>-0.28794240799999998</v>
      </c>
      <c r="AF2" s="89">
        <v>-0.63921837500000001</v>
      </c>
      <c r="AG2" s="89">
        <v>-1.0118177159999999</v>
      </c>
      <c r="AH2" s="89">
        <v>-0.42039610199999999</v>
      </c>
      <c r="AI2" s="89">
        <v>-0.73454990600000003</v>
      </c>
      <c r="AJ2" s="89">
        <v>-0.36137016900000002</v>
      </c>
      <c r="AK2" s="89">
        <v>-0.84751391700000001</v>
      </c>
      <c r="AL2" s="89">
        <v>-0.62592957299999996</v>
      </c>
      <c r="AM2" s="89">
        <v>-0.61287358999999997</v>
      </c>
      <c r="AN2" s="89">
        <v>-0.63698732199999997</v>
      </c>
      <c r="AO2" s="90">
        <v>-1.01469046</v>
      </c>
      <c r="AP2" s="89">
        <v>-0.81583688200000004</v>
      </c>
      <c r="AQ2" s="89">
        <v>-0.61814921899999997</v>
      </c>
      <c r="AR2" s="89">
        <v>9.4945878999999997E-2</v>
      </c>
      <c r="AS2" s="89">
        <v>0.139981303</v>
      </c>
      <c r="AT2" s="89">
        <v>6.2436854E-2</v>
      </c>
      <c r="AU2" s="89">
        <v>0.39160146600000001</v>
      </c>
      <c r="AV2" s="89">
        <v>-0.108939234</v>
      </c>
      <c r="AW2" s="89">
        <v>-0.381698274</v>
      </c>
      <c r="AX2" s="89">
        <v>-0.874698804</v>
      </c>
      <c r="AY2" s="89">
        <v>1.095518328</v>
      </c>
      <c r="AZ2" s="89">
        <v>-1.130739768</v>
      </c>
      <c r="BA2" s="89">
        <v>-1.4031066409999999</v>
      </c>
      <c r="BB2" s="89">
        <v>-1.250841055</v>
      </c>
      <c r="BC2" s="89">
        <v>-1.520922288</v>
      </c>
      <c r="BD2" s="89">
        <v>-1.5815141479999999</v>
      </c>
      <c r="BE2" s="89">
        <v>-1.445340125</v>
      </c>
      <c r="BF2" s="89">
        <v>-1.6337877030000001</v>
      </c>
      <c r="BG2" s="89">
        <v>-1.4082357940000001</v>
      </c>
      <c r="BH2" s="89">
        <v>-1.904515806</v>
      </c>
      <c r="BI2" s="89">
        <v>-1.5824670489999999</v>
      </c>
      <c r="BJ2" s="89">
        <v>-0.33055865499999998</v>
      </c>
      <c r="BK2" s="89">
        <v>-0.48785143199999997</v>
      </c>
      <c r="BL2" s="89">
        <v>-1.367572604</v>
      </c>
      <c r="BM2" s="89">
        <v>-1.365424569</v>
      </c>
      <c r="BN2" s="89">
        <v>-1.5295086090000001</v>
      </c>
      <c r="BO2" s="89">
        <v>-0.68763951199999995</v>
      </c>
      <c r="BP2" s="89">
        <v>-1.5567972880000001</v>
      </c>
      <c r="BQ2" s="89">
        <v>-1.596034741</v>
      </c>
      <c r="BR2" s="89">
        <v>-0.29977561600000002</v>
      </c>
      <c r="BS2" s="89">
        <v>-0.66337272700000005</v>
      </c>
      <c r="BT2" s="89">
        <v>-0.17299173300000001</v>
      </c>
      <c r="BU2" s="89">
        <v>-1.5349720739999999</v>
      </c>
      <c r="BV2" s="89">
        <v>-1.758694757</v>
      </c>
      <c r="BW2" s="88">
        <v>-1.515976081</v>
      </c>
      <c r="BX2" s="88">
        <v>-1.3545253559999999</v>
      </c>
      <c r="BY2" s="88">
        <v>-1.614851687</v>
      </c>
      <c r="BZ2" s="88">
        <v>-1.9352828950000001</v>
      </c>
      <c r="CA2" s="88">
        <v>-1.7701817609999999</v>
      </c>
      <c r="CB2" s="88">
        <v>-1.693817387</v>
      </c>
      <c r="CC2" s="88">
        <v>-0.55981204699999998</v>
      </c>
      <c r="CD2" s="88">
        <v>-0.97876844399999996</v>
      </c>
      <c r="CE2" s="88">
        <v>1.3476841927803997</v>
      </c>
      <c r="CF2" s="88">
        <v>1.984613526059207</v>
      </c>
      <c r="CG2" s="88">
        <v>2.6035189855201679</v>
      </c>
      <c r="CH2" s="88">
        <v>0.55233283301925729</v>
      </c>
      <c r="CI2" s="88">
        <v>3.5307012100831243</v>
      </c>
      <c r="CJ2" s="88">
        <v>0.19227991464427055</v>
      </c>
      <c r="CK2" s="88">
        <v>2.5702912695433389</v>
      </c>
      <c r="CL2" s="88">
        <v>1.4487346855317598</v>
      </c>
      <c r="CM2" s="88">
        <v>1.3747485225501876</v>
      </c>
      <c r="CN2" s="88">
        <v>2.1158441216633572</v>
      </c>
      <c r="CO2" s="88">
        <v>-0.49677450101219667</v>
      </c>
      <c r="CP2" s="88">
        <v>1.2784618081076298</v>
      </c>
      <c r="CQ2" s="88">
        <v>-1.357040911986062</v>
      </c>
      <c r="CR2" s="88">
        <v>-0.50447637836461312</v>
      </c>
      <c r="CS2" s="88">
        <v>0.97086033613755551</v>
      </c>
      <c r="CT2" s="88">
        <v>-0.86844833131449062</v>
      </c>
      <c r="CU2" s="88">
        <v>2.2077108306752438</v>
      </c>
      <c r="CV2" s="88">
        <v>0.61123732971224787</v>
      </c>
      <c r="CW2" s="88">
        <v>1.1701668540089549</v>
      </c>
      <c r="CX2" s="88">
        <v>2.5795455180515159</v>
      </c>
      <c r="CY2" s="88">
        <v>1.9543362606981178</v>
      </c>
      <c r="CZ2" s="88">
        <v>-1.2043806577329526</v>
      </c>
      <c r="DA2" s="88">
        <v>1.9783701519472048</v>
      </c>
      <c r="DB2" s="88">
        <v>1.7347656400219755</v>
      </c>
      <c r="DC2" s="88">
        <v>-3.2102472982323031</v>
      </c>
      <c r="DD2" s="88">
        <v>-1.3611777692509546</v>
      </c>
      <c r="DE2" s="88">
        <v>2.2556942484343603</v>
      </c>
      <c r="DF2" s="88">
        <v>1.689890419438165</v>
      </c>
      <c r="DG2" s="88">
        <v>2.7347066417479944</v>
      </c>
      <c r="DH2" s="88">
        <v>1.4647518982434529</v>
      </c>
      <c r="DI2" s="88">
        <v>0.80309513252860165</v>
      </c>
      <c r="DJ2" s="88">
        <v>2.1820135772369484</v>
      </c>
      <c r="DK2" s="88">
        <v>1.3718072323854833</v>
      </c>
      <c r="DL2" s="88">
        <v>1.3303466082335023</v>
      </c>
      <c r="DM2" s="88">
        <v>0.44925305563873341</v>
      </c>
      <c r="DN2" s="88">
        <v>0.17072612445936147</v>
      </c>
      <c r="DO2" s="88">
        <v>3.2312058332944922</v>
      </c>
      <c r="DP2" s="88">
        <v>2.3652094623813205</v>
      </c>
      <c r="DQ2" s="88">
        <v>1.9400370276284569</v>
      </c>
      <c r="DR2" s="88">
        <v>2.2950246006582526</v>
      </c>
      <c r="DS2" s="89">
        <v>1.4365313443919798</v>
      </c>
      <c r="DT2" s="89">
        <v>2.2371148661646134</v>
      </c>
      <c r="DU2" s="89">
        <v>0.69777059494135574</v>
      </c>
      <c r="DV2" s="89">
        <v>2.6060904590592804</v>
      </c>
      <c r="DW2" s="89">
        <v>2.1756607886538752</v>
      </c>
      <c r="DX2" s="89">
        <v>0.64505206555095251</v>
      </c>
      <c r="DY2" s="89">
        <v>1.776780933193554</v>
      </c>
      <c r="DZ2" s="89">
        <v>0.86125387095805417</v>
      </c>
      <c r="EA2" s="89">
        <v>0.91141465311511172</v>
      </c>
      <c r="EB2" s="89">
        <v>0.75278425214570943</v>
      </c>
      <c r="EC2" s="89">
        <v>0.67776562945928054</v>
      </c>
      <c r="ED2" s="89">
        <v>1.1468207844456597</v>
      </c>
      <c r="EE2" s="89">
        <v>1.4998344013670555</v>
      </c>
      <c r="EF2" s="89">
        <v>0.83325648798837093</v>
      </c>
      <c r="EG2" s="89">
        <v>-0.59014735261978879</v>
      </c>
      <c r="EH2" s="89">
        <v>-0.82005189046237759</v>
      </c>
      <c r="EI2" s="89">
        <v>-0.6463866816608651</v>
      </c>
      <c r="EJ2" s="89">
        <v>-0.66039504784131464</v>
      </c>
      <c r="EK2" s="89">
        <v>2.0232320884601314</v>
      </c>
      <c r="EL2" s="89">
        <v>-0.78848527809189217</v>
      </c>
      <c r="EM2" s="89">
        <v>2.8755121696942885</v>
      </c>
      <c r="EN2" s="89">
        <v>2.6223931451257583</v>
      </c>
      <c r="EO2" s="89">
        <v>1.2858483095403315</v>
      </c>
      <c r="EP2" s="89">
        <v>1.0469136324497226</v>
      </c>
      <c r="EQ2" s="89">
        <v>2.7800557697255464</v>
      </c>
      <c r="ER2" s="89">
        <v>0.24911740535849591</v>
      </c>
    </row>
    <row r="3" spans="1:148" x14ac:dyDescent="0.25">
      <c r="A3" s="87">
        <v>410</v>
      </c>
      <c r="B3" s="87">
        <v>0.1391211649786786</v>
      </c>
      <c r="C3" s="87">
        <v>-2.2113374976253826</v>
      </c>
      <c r="D3" s="87">
        <v>-0.34008106309574149</v>
      </c>
      <c r="E3" s="87">
        <v>1.4479700227095472E-2</v>
      </c>
      <c r="F3" s="87">
        <v>-0.37970241510804037</v>
      </c>
      <c r="G3" s="87">
        <v>-0.11139982327266273</v>
      </c>
      <c r="H3" s="87">
        <v>-6.7435756778148628E-2</v>
      </c>
      <c r="I3" s="87">
        <v>1.6862854065122859</v>
      </c>
      <c r="J3" s="87">
        <v>-3.7024798923987363E-2</v>
      </c>
      <c r="K3" s="87">
        <v>0.28564406918855068</v>
      </c>
      <c r="L3" s="87">
        <v>-0.31549106081821415</v>
      </c>
      <c r="M3" s="87">
        <v>0.45476841012854302</v>
      </c>
      <c r="N3" s="87">
        <v>410</v>
      </c>
      <c r="O3" s="87">
        <v>-2.4055148900000001</v>
      </c>
      <c r="P3" s="87">
        <v>7.2285846000000001E-2</v>
      </c>
      <c r="Q3" s="87">
        <v>-0.78632957699999995</v>
      </c>
      <c r="R3" s="87">
        <v>-0.14664650700000001</v>
      </c>
      <c r="S3" s="87">
        <v>-0.60772975399999996</v>
      </c>
      <c r="T3" s="87">
        <v>1.1427438539999999</v>
      </c>
      <c r="U3" s="87">
        <v>0.68054517400000003</v>
      </c>
      <c r="V3" s="87">
        <v>2.682224352</v>
      </c>
      <c r="W3" s="87">
        <v>1.453929866</v>
      </c>
      <c r="X3" s="87">
        <v>-0.65356954199999995</v>
      </c>
      <c r="Y3" s="87">
        <v>-0.25483854900000003</v>
      </c>
      <c r="Z3" s="88">
        <v>-0.23149207499999999</v>
      </c>
      <c r="AA3" s="88">
        <v>-0.72635017400000002</v>
      </c>
      <c r="AB3" s="88">
        <v>-0.38522531599999998</v>
      </c>
      <c r="AC3" s="88">
        <v>-0.59996970999999999</v>
      </c>
      <c r="AD3" s="88">
        <v>-0.359072646</v>
      </c>
      <c r="AE3" s="88">
        <v>-0.35080745200000002</v>
      </c>
      <c r="AF3" s="89">
        <v>-0.43730055400000001</v>
      </c>
      <c r="AG3" s="89">
        <v>-0.981543622</v>
      </c>
      <c r="AH3" s="89">
        <v>-0.50023281500000005</v>
      </c>
      <c r="AI3" s="89">
        <v>-0.64221742000000004</v>
      </c>
      <c r="AJ3" s="89">
        <v>-0.32396842599999998</v>
      </c>
      <c r="AK3" s="89">
        <v>-0.71145106300000005</v>
      </c>
      <c r="AL3" s="89">
        <v>-0.53636852899999998</v>
      </c>
      <c r="AM3" s="89">
        <v>-0.53194151099999998</v>
      </c>
      <c r="AN3" s="89">
        <v>-0.54671566800000004</v>
      </c>
      <c r="AO3" s="90">
        <v>-1.1547728509999999</v>
      </c>
      <c r="AP3" s="89">
        <v>-0.60873290099999999</v>
      </c>
      <c r="AQ3" s="89">
        <v>-0.49679625399999999</v>
      </c>
      <c r="AR3" s="89">
        <v>0.104262379</v>
      </c>
      <c r="AS3" s="89">
        <v>0.12710712099999999</v>
      </c>
      <c r="AT3" s="89">
        <v>4.8040114000000002E-2</v>
      </c>
      <c r="AU3" s="89">
        <v>0.35349856600000001</v>
      </c>
      <c r="AV3" s="89">
        <v>-0.215051304</v>
      </c>
      <c r="AW3" s="89">
        <v>-0.48079653</v>
      </c>
      <c r="AX3" s="89">
        <v>-0.950478983</v>
      </c>
      <c r="AY3" s="89">
        <v>0.77385035800000002</v>
      </c>
      <c r="AZ3" s="89">
        <v>-0.92324371400000005</v>
      </c>
      <c r="BA3" s="89">
        <v>-1.099560938</v>
      </c>
      <c r="BB3" s="89">
        <v>-1.244322696</v>
      </c>
      <c r="BC3" s="89">
        <v>-1.520922288</v>
      </c>
      <c r="BD3" s="89">
        <v>-1.6174393899999999</v>
      </c>
      <c r="BE3" s="89">
        <v>-1.543331429</v>
      </c>
      <c r="BF3" s="89">
        <v>-1.2101341430000001</v>
      </c>
      <c r="BG3" s="89">
        <v>-1.215275012</v>
      </c>
      <c r="BH3" s="89">
        <v>-1.7055389809999999</v>
      </c>
      <c r="BI3" s="89">
        <v>-1.485658138</v>
      </c>
      <c r="BJ3" s="89">
        <v>1.434529213</v>
      </c>
      <c r="BK3" s="89">
        <v>0.99681615000000001</v>
      </c>
      <c r="BL3" s="89">
        <v>-1.596172828</v>
      </c>
      <c r="BM3" s="89">
        <v>-1.5470143110000001</v>
      </c>
      <c r="BN3" s="89">
        <v>-1.583191096</v>
      </c>
      <c r="BO3" s="89">
        <v>-0.51242429</v>
      </c>
      <c r="BP3" s="89">
        <v>-1.6800392989999999</v>
      </c>
      <c r="BQ3" s="89">
        <v>-1.552506038</v>
      </c>
      <c r="BR3" s="89">
        <v>-0.52921578300000005</v>
      </c>
      <c r="BS3" s="89">
        <v>-0.998848505</v>
      </c>
      <c r="BT3" s="89">
        <v>-0.46148150799999998</v>
      </c>
      <c r="BU3" s="89">
        <v>-1.6130466720000001</v>
      </c>
      <c r="BV3" s="89">
        <v>-1.26989975</v>
      </c>
      <c r="BW3" s="88">
        <v>-1.244022671</v>
      </c>
      <c r="BX3" s="88">
        <v>-1.2277142839999999</v>
      </c>
      <c r="BY3" s="88">
        <v>-1.5956790030000001</v>
      </c>
      <c r="BZ3" s="88">
        <v>-1.1426487599999999</v>
      </c>
      <c r="CA3" s="88">
        <v>-1.4057163509999999</v>
      </c>
      <c r="CB3" s="88">
        <v>-1.2835624649999999</v>
      </c>
      <c r="CC3" s="88">
        <v>-0.65476130799999999</v>
      </c>
      <c r="CD3" s="88">
        <v>-1.0762511859999999</v>
      </c>
      <c r="CE3" s="88">
        <v>1.5262819401701133</v>
      </c>
      <c r="CF3" s="88">
        <v>1.8157963436528053</v>
      </c>
      <c r="CG3" s="88">
        <v>1.724938172118454</v>
      </c>
      <c r="CH3" s="88">
        <v>0.70893216567323702</v>
      </c>
      <c r="CI3" s="88">
        <v>3.129438010234181</v>
      </c>
      <c r="CJ3" s="88">
        <v>0.84461757324462883</v>
      </c>
      <c r="CK3" s="88">
        <v>2.3289516093905136</v>
      </c>
      <c r="CL3" s="88">
        <v>1.4692371218449081</v>
      </c>
      <c r="CM3" s="88">
        <v>1.4627366051511839</v>
      </c>
      <c r="CN3" s="88">
        <v>1.8938302982786055</v>
      </c>
      <c r="CO3" s="88">
        <v>-0.11618225338189195</v>
      </c>
      <c r="CP3" s="88">
        <v>1.2029488717571846</v>
      </c>
      <c r="CQ3" s="88">
        <v>-1.2294322227170036</v>
      </c>
      <c r="CR3" s="88">
        <v>1.0112186826838558</v>
      </c>
      <c r="CS3" s="88">
        <v>2.2068753377766459</v>
      </c>
      <c r="CT3" s="88">
        <v>-0.90531393712982033</v>
      </c>
      <c r="CU3" s="88">
        <v>1.8476282004090074</v>
      </c>
      <c r="CV3" s="88">
        <v>1.1071588808680342</v>
      </c>
      <c r="CW3" s="88">
        <v>1.2066352499427426</v>
      </c>
      <c r="CX3" s="88">
        <v>2.1392953708165861</v>
      </c>
      <c r="CY3" s="88">
        <v>1.7575372462047258</v>
      </c>
      <c r="CZ3" s="88">
        <v>-1.114296111357812</v>
      </c>
      <c r="DA3" s="88">
        <v>2.0521898179480127</v>
      </c>
      <c r="DB3" s="88">
        <v>1.1691514907048146</v>
      </c>
      <c r="DC3" s="88">
        <v>-0.15651039287041446</v>
      </c>
      <c r="DD3" s="88">
        <v>-0.73611600944193878</v>
      </c>
      <c r="DE3" s="88">
        <v>2.0371879937043027</v>
      </c>
      <c r="DF3" s="88">
        <v>2.0288245071003974</v>
      </c>
      <c r="DG3" s="88">
        <v>2.2925450403829823</v>
      </c>
      <c r="DH3" s="88">
        <v>1.2871434563528019</v>
      </c>
      <c r="DI3" s="88">
        <v>0.65145068538379158</v>
      </c>
      <c r="DJ3" s="88">
        <v>2.1001715379548904</v>
      </c>
      <c r="DK3" s="88">
        <v>1.5281323542668876</v>
      </c>
      <c r="DL3" s="88">
        <v>1.5714503094305701</v>
      </c>
      <c r="DM3" s="88">
        <v>0.39070215277047243</v>
      </c>
      <c r="DN3" s="88">
        <v>0.60250553352805525</v>
      </c>
      <c r="DO3" s="88">
        <v>2.6269516442725589</v>
      </c>
      <c r="DP3" s="88">
        <v>2.0008379945987014</v>
      </c>
      <c r="DQ3" s="88">
        <v>1.7952255503519092</v>
      </c>
      <c r="DR3" s="88">
        <v>2.2423976518071926</v>
      </c>
      <c r="DS3" s="89">
        <v>1.2688715117560501</v>
      </c>
      <c r="DT3" s="89">
        <v>1.7050261323710687</v>
      </c>
      <c r="DU3" s="89">
        <v>1.3493754933424467</v>
      </c>
      <c r="DV3" s="89">
        <v>2.3427129410537422</v>
      </c>
      <c r="DW3" s="89">
        <v>2.1936093692428313</v>
      </c>
      <c r="DX3" s="89">
        <v>0.63701904035553014</v>
      </c>
      <c r="DY3" s="89">
        <v>1.7741426999456891</v>
      </c>
      <c r="DZ3" s="89">
        <v>0.96599311046636294</v>
      </c>
      <c r="EA3" s="89">
        <v>0.87763953874842016</v>
      </c>
      <c r="EB3" s="89">
        <v>0.58609601296611369</v>
      </c>
      <c r="EC3" s="89">
        <v>0.50911277624863682</v>
      </c>
      <c r="ED3" s="89">
        <v>0.27775099950228654</v>
      </c>
      <c r="EE3" s="89">
        <v>1.5584731028877574</v>
      </c>
      <c r="EF3" s="89">
        <v>0.89284671467906451</v>
      </c>
      <c r="EG3" s="89">
        <v>-0.57837544918266748</v>
      </c>
      <c r="EH3" s="89">
        <v>-0.79791886593835637</v>
      </c>
      <c r="EI3" s="89">
        <v>-0.61589974731993824</v>
      </c>
      <c r="EJ3" s="89">
        <v>-0.57971961920238257</v>
      </c>
      <c r="EK3" s="89">
        <v>1.7955271615351331</v>
      </c>
      <c r="EL3" s="89">
        <v>-0.79051629021177139</v>
      </c>
      <c r="EM3" s="89">
        <v>2.4341906595242406</v>
      </c>
      <c r="EN3" s="89">
        <v>2.2596784771175535</v>
      </c>
      <c r="EO3" s="89">
        <v>1.3148927050262798</v>
      </c>
      <c r="EP3" s="89">
        <v>1.086489515324039</v>
      </c>
      <c r="EQ3" s="89">
        <v>2.2836461530137488</v>
      </c>
      <c r="ER3" s="89">
        <v>0.22785236248613769</v>
      </c>
    </row>
    <row r="4" spans="1:148" x14ac:dyDescent="0.25">
      <c r="A4" s="87">
        <v>420</v>
      </c>
      <c r="B4" s="87">
        <v>-0.8528657887499792</v>
      </c>
      <c r="C4" s="87">
        <v>0.58424479908343729</v>
      </c>
      <c r="D4" s="87">
        <v>1.8382041925731205</v>
      </c>
      <c r="E4" s="87">
        <v>-0.22051731698794305</v>
      </c>
      <c r="F4" s="87">
        <v>-0.61848901744925433</v>
      </c>
      <c r="G4" s="87">
        <v>0.30087339909175631</v>
      </c>
      <c r="H4" s="87">
        <v>0.39969540420954469</v>
      </c>
      <c r="I4" s="87">
        <v>1.4792701250062168</v>
      </c>
      <c r="J4" s="87">
        <v>-0.28250135595181119</v>
      </c>
      <c r="K4" s="87">
        <v>0.36451421298879016</v>
      </c>
      <c r="L4" s="87">
        <v>-0.5629126733861668</v>
      </c>
      <c r="M4" s="87">
        <v>-0.29523130403102021</v>
      </c>
      <c r="N4" s="87">
        <v>420</v>
      </c>
      <c r="O4" s="87">
        <v>-1.693484496</v>
      </c>
      <c r="P4" s="87">
        <v>9.0404999999999999E-3</v>
      </c>
      <c r="Q4" s="87">
        <v>-0.555035363</v>
      </c>
      <c r="R4" s="87">
        <v>-0.68565462799999999</v>
      </c>
      <c r="S4" s="87">
        <v>-1.1933390479999999</v>
      </c>
      <c r="T4" s="87">
        <v>0.49580377799999997</v>
      </c>
      <c r="U4" s="87">
        <v>1.695931554</v>
      </c>
      <c r="V4" s="87">
        <v>0.95448301700000004</v>
      </c>
      <c r="W4" s="87">
        <v>3.1828884679999998</v>
      </c>
      <c r="X4" s="87">
        <v>-0.54525830500000005</v>
      </c>
      <c r="Y4" s="87">
        <v>-0.83428622699999999</v>
      </c>
      <c r="Z4" s="88">
        <v>-0.28192402599999999</v>
      </c>
      <c r="AA4" s="88">
        <v>-0.69932257499999995</v>
      </c>
      <c r="AB4" s="88">
        <v>-0.42559237599999999</v>
      </c>
      <c r="AC4" s="88">
        <v>-0.59192581499999997</v>
      </c>
      <c r="AD4" s="88">
        <v>-0.36643961000000003</v>
      </c>
      <c r="AE4" s="88">
        <v>-0.48122827899999998</v>
      </c>
      <c r="AF4" s="89">
        <v>-0.41332522999999999</v>
      </c>
      <c r="AG4" s="89">
        <v>-1.2366722379999999</v>
      </c>
      <c r="AH4" s="89">
        <v>-0.51775472</v>
      </c>
      <c r="AI4" s="89">
        <v>-0.53897031399999995</v>
      </c>
      <c r="AJ4" s="89">
        <v>-0.2961028</v>
      </c>
      <c r="AK4" s="89">
        <v>-0.55898317200000003</v>
      </c>
      <c r="AL4" s="89">
        <v>-0.42814125800000002</v>
      </c>
      <c r="AM4" s="89">
        <v>-0.42616818200000001</v>
      </c>
      <c r="AN4" s="89">
        <v>-0.44227222500000002</v>
      </c>
      <c r="AO4" s="90">
        <v>-0.95995647799999995</v>
      </c>
      <c r="AP4" s="89">
        <v>-0.73162910599999997</v>
      </c>
      <c r="AQ4" s="89">
        <v>-0.50576722500000004</v>
      </c>
      <c r="AR4" s="89">
        <v>0.110089492</v>
      </c>
      <c r="AS4" s="89">
        <v>8.5976863000000001E-2</v>
      </c>
      <c r="AT4" s="89">
        <v>5.0629713999999999E-2</v>
      </c>
      <c r="AU4" s="89">
        <v>0.29554092999999998</v>
      </c>
      <c r="AV4" s="89">
        <v>-0.42350101299999998</v>
      </c>
      <c r="AW4" s="89">
        <v>-0.58011976899999995</v>
      </c>
      <c r="AX4" s="89">
        <v>-1.020772673</v>
      </c>
      <c r="AY4" s="89">
        <v>0.27501686600000003</v>
      </c>
      <c r="AZ4" s="89">
        <v>-0.699955145</v>
      </c>
      <c r="BA4" s="89">
        <v>-0.56665125199999999</v>
      </c>
      <c r="BB4" s="89">
        <v>-1.041887743</v>
      </c>
      <c r="BC4" s="89">
        <v>-2.1129691909999999</v>
      </c>
      <c r="BD4" s="89">
        <v>-1.9447582640000001</v>
      </c>
      <c r="BE4" s="89">
        <v>-1.710239694</v>
      </c>
      <c r="BF4" s="89">
        <v>-1.2876825220000001</v>
      </c>
      <c r="BG4" s="89">
        <v>-1.869963381</v>
      </c>
      <c r="BH4" s="89">
        <v>-1.7417165859999999</v>
      </c>
      <c r="BI4" s="89">
        <v>-1.211123722</v>
      </c>
      <c r="BJ4" s="89">
        <v>3.4212551520000001</v>
      </c>
      <c r="BK4" s="89">
        <v>3.2767824590000001</v>
      </c>
      <c r="BL4" s="89">
        <v>-1.528380968</v>
      </c>
      <c r="BM4" s="89">
        <v>-1.551300975</v>
      </c>
      <c r="BN4" s="89">
        <v>-1.5353952790000001</v>
      </c>
      <c r="BO4" s="89">
        <v>-0.28662653599999999</v>
      </c>
      <c r="BP4" s="89">
        <v>-1.6177093060000001</v>
      </c>
      <c r="BQ4" s="89">
        <v>-1.1981257240000001</v>
      </c>
      <c r="BR4" s="89">
        <v>-0.80621299199999996</v>
      </c>
      <c r="BS4" s="89">
        <v>-1.894951879</v>
      </c>
      <c r="BT4" s="89">
        <v>-1.0244993060000001</v>
      </c>
      <c r="BU4" s="89">
        <v>-1.3429453090000001</v>
      </c>
      <c r="BV4" s="89">
        <v>-1.047042987</v>
      </c>
      <c r="BW4" s="88">
        <v>-2.11994967</v>
      </c>
      <c r="BX4" s="88">
        <v>-2.147615923</v>
      </c>
      <c r="BY4" s="88">
        <v>-1.6650730170000001</v>
      </c>
      <c r="BZ4" s="88">
        <v>-1.1576128189999999</v>
      </c>
      <c r="CA4" s="88">
        <v>-0.73072334400000005</v>
      </c>
      <c r="CB4" s="88">
        <v>-0.91042741100000002</v>
      </c>
      <c r="CC4" s="88">
        <v>-0.99414736699999995</v>
      </c>
      <c r="CD4" s="88">
        <v>-1.4126858280000001</v>
      </c>
      <c r="CE4" s="88">
        <v>1.7103357640328052</v>
      </c>
      <c r="CF4" s="88">
        <v>1.5550701678032661</v>
      </c>
      <c r="CG4" s="88">
        <v>1.2020881248628454</v>
      </c>
      <c r="CH4" s="88">
        <v>0.89235895264023135</v>
      </c>
      <c r="CI4" s="88">
        <v>1.8239533868720674</v>
      </c>
      <c r="CJ4" s="88">
        <v>1.6167817395293782</v>
      </c>
      <c r="CK4" s="88">
        <v>1.5020724545619533</v>
      </c>
      <c r="CL4" s="88">
        <v>1.1779152155568782</v>
      </c>
      <c r="CM4" s="88">
        <v>1.0407638843276648</v>
      </c>
      <c r="CN4" s="88">
        <v>1.5799969596586811</v>
      </c>
      <c r="CO4" s="88">
        <v>0.62427444573955304</v>
      </c>
      <c r="CP4" s="88">
        <v>1.1230204848799106</v>
      </c>
      <c r="CQ4" s="88">
        <v>-0.81341031344297854</v>
      </c>
      <c r="CR4" s="88">
        <v>1.0402468740486157</v>
      </c>
      <c r="CS4" s="88">
        <v>1.7668835864647838</v>
      </c>
      <c r="CT4" s="88">
        <v>-0.83069907481422212</v>
      </c>
      <c r="CU4" s="88">
        <v>1.2964991369343513</v>
      </c>
      <c r="CV4" s="88">
        <v>1.3785938850709587</v>
      </c>
      <c r="CW4" s="88">
        <v>1.1033703004270863</v>
      </c>
      <c r="CX4" s="88">
        <v>1.5699268497036172</v>
      </c>
      <c r="CY4" s="88">
        <v>1.2544852395921391</v>
      </c>
      <c r="CZ4" s="88">
        <v>-0.6189181829573146</v>
      </c>
      <c r="DA4" s="88">
        <v>1.8221311227914732</v>
      </c>
      <c r="DB4" s="88">
        <v>0.83604070416427878</v>
      </c>
      <c r="DC4" s="88">
        <v>1.2276027242382757</v>
      </c>
      <c r="DD4" s="88">
        <v>-0.62936959462557451</v>
      </c>
      <c r="DE4" s="88">
        <v>1.3517798682389737</v>
      </c>
      <c r="DF4" s="88">
        <v>1.3878615739263698</v>
      </c>
      <c r="DG4" s="88">
        <v>1.6315173721246661</v>
      </c>
      <c r="DH4" s="88">
        <v>1.6048009345047538</v>
      </c>
      <c r="DI4" s="88">
        <v>0.20016320113610475</v>
      </c>
      <c r="DJ4" s="88">
        <v>2.2030720122843839</v>
      </c>
      <c r="DK4" s="88">
        <v>1.7332054982904892</v>
      </c>
      <c r="DL4" s="88">
        <v>1.8990197638691637</v>
      </c>
      <c r="DM4" s="88">
        <v>0.68206603793281029</v>
      </c>
      <c r="DN4" s="88">
        <v>1.4941244929179607</v>
      </c>
      <c r="DO4" s="88">
        <v>1.6119361924370457</v>
      </c>
      <c r="DP4" s="88">
        <v>1.4914986921614788</v>
      </c>
      <c r="DQ4" s="88">
        <v>1.3893322536178982</v>
      </c>
      <c r="DR4" s="88">
        <v>2.1862324947627036</v>
      </c>
      <c r="DS4" s="89">
        <v>1.0771975036785557</v>
      </c>
      <c r="DT4" s="89">
        <v>0.58621199362812582</v>
      </c>
      <c r="DU4" s="89">
        <v>1.2546088308712338</v>
      </c>
      <c r="DV4" s="89">
        <v>1.8408594784185188</v>
      </c>
      <c r="DW4" s="89">
        <v>2.1549699400686415</v>
      </c>
      <c r="DX4" s="89">
        <v>0.28919777053966444</v>
      </c>
      <c r="DY4" s="89">
        <v>1.7308510868680367</v>
      </c>
      <c r="DZ4" s="89">
        <v>1.2591205472816238</v>
      </c>
      <c r="EA4" s="89">
        <v>1.3517829256783316</v>
      </c>
      <c r="EB4" s="89">
        <v>1.2528356350754484</v>
      </c>
      <c r="EC4" s="89">
        <v>0.99346215727622733</v>
      </c>
      <c r="ED4" s="89">
        <v>0.53962797854155942</v>
      </c>
      <c r="EE4" s="89">
        <v>1.9152912480942632</v>
      </c>
      <c r="EF4" s="89">
        <v>1.1209474498262064</v>
      </c>
      <c r="EG4" s="89">
        <v>-0.49574906613963315</v>
      </c>
      <c r="EH4" s="89">
        <v>-0.70098651508868004</v>
      </c>
      <c r="EI4" s="89">
        <v>-0.40847892256020851</v>
      </c>
      <c r="EJ4" s="89">
        <v>-0.30870151470266027</v>
      </c>
      <c r="EK4" s="89">
        <v>1.3159953351217228</v>
      </c>
      <c r="EL4" s="89">
        <v>-0.81114379592469865</v>
      </c>
      <c r="EM4" s="89">
        <v>1.6461433421408951</v>
      </c>
      <c r="EN4" s="89">
        <v>1.7880386139264712</v>
      </c>
      <c r="EO4" s="89">
        <v>1.3078414982790298</v>
      </c>
      <c r="EP4" s="89">
        <v>1.2138649936593402</v>
      </c>
      <c r="EQ4" s="89">
        <v>1.6808775821431345</v>
      </c>
      <c r="ER4" s="89">
        <v>0.46458953371073908</v>
      </c>
    </row>
    <row r="5" spans="1:148" x14ac:dyDescent="0.25">
      <c r="A5" s="87">
        <v>430</v>
      </c>
      <c r="B5" s="87">
        <v>-6.7763814675961251E-2</v>
      </c>
      <c r="C5" s="87">
        <v>-1.4533452713518251E-3</v>
      </c>
      <c r="D5" s="87">
        <v>2.0223528904939587</v>
      </c>
      <c r="E5" s="87">
        <v>-0.54528847561097382</v>
      </c>
      <c r="F5" s="87">
        <v>-0.49909571627864735</v>
      </c>
      <c r="G5" s="87">
        <v>-1.0329517320872466</v>
      </c>
      <c r="H5" s="87">
        <v>0.53481598796631546</v>
      </c>
      <c r="I5" s="87">
        <v>1.402511649841045</v>
      </c>
      <c r="J5" s="87">
        <v>-0.13211932101584706</v>
      </c>
      <c r="K5" s="87">
        <v>0.11356375544257358</v>
      </c>
      <c r="L5" s="87">
        <v>-0.89162995865501804</v>
      </c>
      <c r="M5" s="87">
        <v>-0.15392701005892859</v>
      </c>
      <c r="N5" s="87">
        <v>430</v>
      </c>
      <c r="O5" s="87">
        <v>-0.15612869099999999</v>
      </c>
      <c r="P5" s="87">
        <v>3.5289958000000003E-2</v>
      </c>
      <c r="Q5" s="87">
        <v>2.8172992000000001E-2</v>
      </c>
      <c r="R5" s="87">
        <v>-1.1768608819999999</v>
      </c>
      <c r="S5" s="87">
        <v>-1.882377033</v>
      </c>
      <c r="T5" s="87">
        <v>-0.37131158600000003</v>
      </c>
      <c r="U5" s="87">
        <v>1.1143609000000001</v>
      </c>
      <c r="V5" s="87">
        <v>0.26723124100000001</v>
      </c>
      <c r="W5" s="87">
        <v>2.4520814930000001</v>
      </c>
      <c r="X5" s="87">
        <v>1.396267409</v>
      </c>
      <c r="Y5" s="87">
        <v>-0.81667868300000002</v>
      </c>
      <c r="Z5" s="88">
        <v>-0.299532892</v>
      </c>
      <c r="AA5" s="88">
        <v>-0.365969076</v>
      </c>
      <c r="AB5" s="88">
        <v>-0.33788170499999998</v>
      </c>
      <c r="AC5" s="88">
        <v>-0.34783694700000001</v>
      </c>
      <c r="AD5" s="88">
        <v>-0.32419571699999999</v>
      </c>
      <c r="AE5" s="88">
        <v>-0.40471495299999999</v>
      </c>
      <c r="AF5" s="89">
        <v>-0.71743964999999998</v>
      </c>
      <c r="AG5" s="89">
        <v>-1.032079674</v>
      </c>
      <c r="AH5" s="89">
        <v>-0.542062657</v>
      </c>
      <c r="AI5" s="89">
        <v>-0.42396072600000001</v>
      </c>
      <c r="AJ5" s="89">
        <v>-0.22794555999999999</v>
      </c>
      <c r="AK5" s="89">
        <v>-0.45637271899999998</v>
      </c>
      <c r="AL5" s="89">
        <v>-0.33347745400000001</v>
      </c>
      <c r="AM5" s="89">
        <v>-0.31098878000000002</v>
      </c>
      <c r="AN5" s="89">
        <v>-0.34372498600000001</v>
      </c>
      <c r="AO5" s="90">
        <v>-0.58685780399999998</v>
      </c>
      <c r="AP5" s="89">
        <v>-1.3978355410000001</v>
      </c>
      <c r="AQ5" s="89">
        <v>-1.292173104</v>
      </c>
      <c r="AR5" s="89">
        <v>0.10257508799999999</v>
      </c>
      <c r="AS5" s="89">
        <v>6.6594929999999998E-3</v>
      </c>
      <c r="AT5" s="89">
        <v>7.4806321999999995E-2</v>
      </c>
      <c r="AU5" s="89">
        <v>0.18071757499999999</v>
      </c>
      <c r="AV5" s="89">
        <v>-0.52442067400000003</v>
      </c>
      <c r="AW5" s="89">
        <v>-3.4645449000000002E-2</v>
      </c>
      <c r="AX5" s="89">
        <v>-1.3196124330000001</v>
      </c>
      <c r="AY5" s="89">
        <v>6.0863937999999999E-2</v>
      </c>
      <c r="AZ5" s="89">
        <v>-0.54394358200000004</v>
      </c>
      <c r="BA5" s="89">
        <v>-0.34356640300000002</v>
      </c>
      <c r="BB5" s="89">
        <v>-0.62310218100000003</v>
      </c>
      <c r="BC5" s="89">
        <v>-1.547433694</v>
      </c>
      <c r="BD5" s="89">
        <v>-1.0107019660000001</v>
      </c>
      <c r="BE5" s="89">
        <v>-1.4001133690000001</v>
      </c>
      <c r="BF5" s="89">
        <v>-0.24312147100000001</v>
      </c>
      <c r="BG5" s="89">
        <v>-0.65017557699999995</v>
      </c>
      <c r="BH5" s="89">
        <v>-0.60212204400000002</v>
      </c>
      <c r="BI5" s="89">
        <v>-1.469914699</v>
      </c>
      <c r="BJ5" s="89">
        <v>2.2133613510000001</v>
      </c>
      <c r="BK5" s="89">
        <v>2.6684705910000002</v>
      </c>
      <c r="BL5" s="89">
        <v>-1.3129524930000001</v>
      </c>
      <c r="BM5" s="89">
        <v>-1.2907396739999999</v>
      </c>
      <c r="BN5" s="89">
        <v>-1.4038232509999999</v>
      </c>
      <c r="BO5" s="89">
        <v>0.52391336399999999</v>
      </c>
      <c r="BP5" s="89">
        <v>-1.5227233019999999</v>
      </c>
      <c r="BQ5" s="89">
        <v>-1.453125236</v>
      </c>
      <c r="BR5" s="89">
        <v>-0.55912558300000004</v>
      </c>
      <c r="BS5" s="89">
        <v>-2.257612757</v>
      </c>
      <c r="BT5" s="89">
        <v>-1.248474128</v>
      </c>
      <c r="BU5" s="89">
        <v>-1.4410755340000001</v>
      </c>
      <c r="BV5" s="89">
        <v>-1.66883552</v>
      </c>
      <c r="BW5" s="88">
        <v>-1.149194678</v>
      </c>
      <c r="BX5" s="88">
        <v>-1.817715854</v>
      </c>
      <c r="BY5" s="88">
        <v>-1.6955258820000001</v>
      </c>
      <c r="BZ5" s="88">
        <v>-1.6622424790000001</v>
      </c>
      <c r="CA5" s="88">
        <v>-1.4608329289999999</v>
      </c>
      <c r="CB5" s="88">
        <v>-1.6038293560000001</v>
      </c>
      <c r="CC5" s="88">
        <v>-1.184666365</v>
      </c>
      <c r="CD5" s="88">
        <v>-1.327367446</v>
      </c>
      <c r="CE5" s="88">
        <v>1.2959721759435829</v>
      </c>
      <c r="CF5" s="88">
        <v>1.4288495576199012</v>
      </c>
      <c r="CG5" s="88">
        <v>1.4503967430390763</v>
      </c>
      <c r="CH5" s="88">
        <v>1.1437290620575915</v>
      </c>
      <c r="CI5" s="88">
        <v>0.46247548793795423</v>
      </c>
      <c r="CJ5" s="88">
        <v>1.4966435403508329</v>
      </c>
      <c r="CK5" s="88">
        <v>0.42795529450659542</v>
      </c>
      <c r="CL5" s="88">
        <v>1.2298325787310826</v>
      </c>
      <c r="CM5" s="88">
        <v>0.10877848031403099</v>
      </c>
      <c r="CN5" s="88">
        <v>1.3523833810846848</v>
      </c>
      <c r="CO5" s="88">
        <v>1.1904198414676719</v>
      </c>
      <c r="CP5" s="88">
        <v>0.92812665215497991</v>
      </c>
      <c r="CQ5" s="88">
        <v>-0.40502999600824935</v>
      </c>
      <c r="CR5" s="88">
        <v>-0.31708395260939409</v>
      </c>
      <c r="CS5" s="88">
        <v>1.3500211604057872</v>
      </c>
      <c r="CT5" s="88">
        <v>-0.73734473857465022</v>
      </c>
      <c r="CU5" s="88">
        <v>1.2524580936351437</v>
      </c>
      <c r="CV5" s="88">
        <v>1.4254139519644564</v>
      </c>
      <c r="CW5" s="88">
        <v>0.85026292930383407</v>
      </c>
      <c r="CX5" s="88">
        <v>1.3707640540514907</v>
      </c>
      <c r="CY5" s="88">
        <v>0.88682232837147157</v>
      </c>
      <c r="CZ5" s="88">
        <v>0.88573133295574946</v>
      </c>
      <c r="DA5" s="88">
        <v>0.98719092366919203</v>
      </c>
      <c r="DB5" s="88">
        <v>0.97348994717973525</v>
      </c>
      <c r="DC5" s="88">
        <v>-8.9085596953701787E-2</v>
      </c>
      <c r="DD5" s="88">
        <v>-0.84606294998051468</v>
      </c>
      <c r="DE5" s="88">
        <v>0.88647329913204642</v>
      </c>
      <c r="DF5" s="88">
        <v>1.0934194407327498</v>
      </c>
      <c r="DG5" s="88">
        <v>1.4595829215789391</v>
      </c>
      <c r="DH5" s="88">
        <v>1.9944242128599958</v>
      </c>
      <c r="DI5" s="88">
        <v>-0.22448111117407207</v>
      </c>
      <c r="DJ5" s="88">
        <v>1.7431364606626167</v>
      </c>
      <c r="DK5" s="88">
        <v>1.66918852967586</v>
      </c>
      <c r="DL5" s="88">
        <v>1.8680629026761093</v>
      </c>
      <c r="DM5" s="88">
        <v>1.2623932282959971</v>
      </c>
      <c r="DN5" s="88">
        <v>2.2538623112919227</v>
      </c>
      <c r="DO5" s="88">
        <v>1.1485840400846381</v>
      </c>
      <c r="DP5" s="88">
        <v>1.4101866702353743</v>
      </c>
      <c r="DQ5" s="88">
        <v>1.264776584121075</v>
      </c>
      <c r="DR5" s="88">
        <v>1.7837954954512798</v>
      </c>
      <c r="DS5" s="89">
        <v>0.82992589779760961</v>
      </c>
      <c r="DT5" s="89">
        <v>-0.33180071678386286</v>
      </c>
      <c r="DU5" s="89">
        <v>4.1994728636310347E-2</v>
      </c>
      <c r="DV5" s="89">
        <v>1.3291902756251524</v>
      </c>
      <c r="DW5" s="89">
        <v>2.0055368255533543</v>
      </c>
      <c r="DX5" s="89">
        <v>-0.14165890017284477</v>
      </c>
      <c r="DY5" s="89">
        <v>1.4328361737375572</v>
      </c>
      <c r="DZ5" s="89">
        <v>1.7292008860319124</v>
      </c>
      <c r="EA5" s="89">
        <v>2.0587468865680152</v>
      </c>
      <c r="EB5" s="89">
        <v>2.0862684968781822</v>
      </c>
      <c r="EC5" s="89">
        <v>1.899493948941315</v>
      </c>
      <c r="ED5" s="89">
        <v>1.85694176656902</v>
      </c>
      <c r="EE5" s="89">
        <v>2.1474395977048597</v>
      </c>
      <c r="EF5" s="89">
        <v>1.3960161220706249</v>
      </c>
      <c r="EG5" s="89">
        <v>-0.34837323237776835</v>
      </c>
      <c r="EH5" s="89">
        <v>-0.48879866071443084</v>
      </c>
      <c r="EI5" s="89">
        <v>-8.9245641682933072E-2</v>
      </c>
      <c r="EJ5" s="89">
        <v>0.17384295784266657</v>
      </c>
      <c r="EK5" s="89">
        <v>0.95288678067776533</v>
      </c>
      <c r="EL5" s="89">
        <v>-0.83920216716549434</v>
      </c>
      <c r="EM5" s="89">
        <v>1.2297788903310687</v>
      </c>
      <c r="EN5" s="89">
        <v>1.7031081485442552</v>
      </c>
      <c r="EO5" s="89">
        <v>1.1585329816862475</v>
      </c>
      <c r="EP5" s="89">
        <v>1.3392797856525804</v>
      </c>
      <c r="EQ5" s="89">
        <v>1.5319515765823573</v>
      </c>
      <c r="ER5" s="89">
        <v>1.0317611519879735</v>
      </c>
    </row>
    <row r="6" spans="1:148" x14ac:dyDescent="0.25">
      <c r="A6" s="87">
        <v>440</v>
      </c>
      <c r="B6" s="87">
        <v>0.5935608211431439</v>
      </c>
      <c r="C6" s="87">
        <v>-0.80566195117388906</v>
      </c>
      <c r="D6" s="87">
        <v>1.3342182824739846</v>
      </c>
      <c r="E6" s="87">
        <v>-0.8146108998349505</v>
      </c>
      <c r="F6" s="87">
        <v>-1.3172909860654538</v>
      </c>
      <c r="G6" s="87">
        <v>-1.1299571961729922</v>
      </c>
      <c r="H6" s="87">
        <v>0.62360951443505064</v>
      </c>
      <c r="I6" s="87">
        <v>1.3722734626547652</v>
      </c>
      <c r="J6" s="87">
        <v>0.14874124423220367</v>
      </c>
      <c r="K6" s="87">
        <v>2.7523598569585028E-2</v>
      </c>
      <c r="L6" s="87">
        <v>-0.58058564571244908</v>
      </c>
      <c r="M6" s="87">
        <v>-0.15392701005892859</v>
      </c>
      <c r="N6" s="87">
        <v>440</v>
      </c>
      <c r="O6" s="87">
        <v>2.0964724850000001</v>
      </c>
      <c r="P6" s="87">
        <v>-1.3095874E-2</v>
      </c>
      <c r="Q6" s="87">
        <v>1.5906966330000001</v>
      </c>
      <c r="R6" s="87">
        <v>-1.3663497490000001</v>
      </c>
      <c r="S6" s="87">
        <v>-2.1109837520000001</v>
      </c>
      <c r="T6" s="87">
        <v>-0.45216574900000001</v>
      </c>
      <c r="U6" s="87">
        <v>0.70354343799999997</v>
      </c>
      <c r="V6" s="87">
        <v>0.19961102999999999</v>
      </c>
      <c r="W6" s="87">
        <v>0.88095058199999998</v>
      </c>
      <c r="X6" s="87">
        <v>3.0085302</v>
      </c>
      <c r="Y6" s="87">
        <v>-1.220322742</v>
      </c>
      <c r="Z6" s="88">
        <v>-0.24603502099999999</v>
      </c>
      <c r="AA6" s="88">
        <v>-0.26996060700000002</v>
      </c>
      <c r="AB6" s="88">
        <v>-0.18821454600000001</v>
      </c>
      <c r="AC6" s="88">
        <v>-0.290587488</v>
      </c>
      <c r="AD6" s="88">
        <v>-0.212614738</v>
      </c>
      <c r="AE6" s="88">
        <v>-0.28057672099999997</v>
      </c>
      <c r="AF6" s="89">
        <v>-0.73266048100000003</v>
      </c>
      <c r="AG6" s="89">
        <v>-0.40428428599999999</v>
      </c>
      <c r="AH6" s="89">
        <v>-0.60328428899999997</v>
      </c>
      <c r="AI6" s="89">
        <v>-0.124218648</v>
      </c>
      <c r="AJ6" s="89">
        <v>0.22603920899999999</v>
      </c>
      <c r="AK6" s="89">
        <v>0.25162437500000001</v>
      </c>
      <c r="AL6" s="89">
        <v>0.32832605199999998</v>
      </c>
      <c r="AM6" s="89">
        <v>0.37038626800000002</v>
      </c>
      <c r="AN6" s="89">
        <v>0.30293744099999997</v>
      </c>
      <c r="AO6" s="90">
        <v>1.0438793470000001</v>
      </c>
      <c r="AP6" s="89">
        <v>-0.35393494800000003</v>
      </c>
      <c r="AQ6" s="89">
        <v>1.747561235</v>
      </c>
      <c r="AR6" s="89">
        <v>7.976337E-2</v>
      </c>
      <c r="AS6" s="89">
        <v>-9.5666809000000005E-2</v>
      </c>
      <c r="AT6" s="89">
        <v>8.5608645999999997E-2</v>
      </c>
      <c r="AU6" s="89">
        <v>-3.3000842000000002E-2</v>
      </c>
      <c r="AV6" s="89">
        <v>-0.58458949599999999</v>
      </c>
      <c r="AW6" s="89">
        <v>-0.65997556099999999</v>
      </c>
      <c r="AX6" s="89">
        <v>-1.3813777899999999</v>
      </c>
      <c r="AY6" s="89">
        <v>4.959877E-2</v>
      </c>
      <c r="AZ6" s="89">
        <v>0.21618985499999999</v>
      </c>
      <c r="BA6" s="89">
        <v>0.33611914199999998</v>
      </c>
      <c r="BB6" s="89">
        <v>0.62165870999999995</v>
      </c>
      <c r="BC6" s="89">
        <v>-5.4034041999999997E-2</v>
      </c>
      <c r="BD6" s="89">
        <v>0.95720297099999996</v>
      </c>
      <c r="BE6" s="89">
        <v>-0.99651841600000002</v>
      </c>
      <c r="BF6" s="89">
        <v>1.9084557</v>
      </c>
      <c r="BG6" s="89">
        <v>1.2046107210000001</v>
      </c>
      <c r="BH6" s="89">
        <v>1.285625359</v>
      </c>
      <c r="BI6" s="89">
        <v>-1.190063656</v>
      </c>
      <c r="BJ6" s="89">
        <v>0.398300498</v>
      </c>
      <c r="BK6" s="89">
        <v>0.66446581900000001</v>
      </c>
      <c r="BL6" s="89">
        <v>-1.448246836</v>
      </c>
      <c r="BM6" s="89">
        <v>-1.3702976870000001</v>
      </c>
      <c r="BN6" s="89">
        <v>-1.308639224</v>
      </c>
      <c r="BO6" s="89">
        <v>1.6278386979999999</v>
      </c>
      <c r="BP6" s="89">
        <v>-1.420807484</v>
      </c>
      <c r="BQ6" s="89">
        <v>-1.226717888</v>
      </c>
      <c r="BR6" s="89">
        <v>-0.70429020499999995</v>
      </c>
      <c r="BS6" s="89">
        <v>-0.63476159200000004</v>
      </c>
      <c r="BT6" s="89">
        <v>-1.4479006699999999</v>
      </c>
      <c r="BU6" s="89">
        <v>-1.3402149370000001</v>
      </c>
      <c r="BV6" s="89">
        <v>-0.13110749999999999</v>
      </c>
      <c r="BW6" s="88">
        <v>2.709061224</v>
      </c>
      <c r="BX6" s="88">
        <v>1.8170664489999999</v>
      </c>
      <c r="BY6" s="88">
        <v>-1.4727131520000001</v>
      </c>
      <c r="BZ6" s="88">
        <v>0.58833785599999999</v>
      </c>
      <c r="CA6" s="88">
        <v>-1.1567380620000001</v>
      </c>
      <c r="CB6" s="88">
        <v>-0.66989854400000004</v>
      </c>
      <c r="CC6" s="88">
        <v>-1.3938828759999999</v>
      </c>
      <c r="CD6" s="88">
        <v>-0.95844470100000001</v>
      </c>
      <c r="CE6" s="88">
        <v>1.0886969384237231</v>
      </c>
      <c r="CF6" s="88">
        <v>1.253713837893863</v>
      </c>
      <c r="CG6" s="88">
        <v>0.32711923058311915</v>
      </c>
      <c r="CH6" s="88">
        <v>1.194236458021172</v>
      </c>
      <c r="CI6" s="88">
        <v>0.27269220962830137</v>
      </c>
      <c r="CJ6" s="88">
        <v>0.79738760012349807</v>
      </c>
      <c r="CK6" s="88">
        <v>0.31978563393051462</v>
      </c>
      <c r="CL6" s="88">
        <v>1.5405097184597631</v>
      </c>
      <c r="CM6" s="88">
        <v>0.17191961380331619</v>
      </c>
      <c r="CN6" s="88">
        <v>1.0702545387567206</v>
      </c>
      <c r="CO6" s="88">
        <v>0.42807004271696925</v>
      </c>
      <c r="CP6" s="88">
        <v>0.90624866984314745</v>
      </c>
      <c r="CQ6" s="88">
        <v>-0.33947152362326444</v>
      </c>
      <c r="CR6" s="88">
        <v>0.57489544916729207</v>
      </c>
      <c r="CS6" s="88">
        <v>0.87620592374938566</v>
      </c>
      <c r="CT6" s="88">
        <v>-0.81089103645881266</v>
      </c>
      <c r="CU6" s="88">
        <v>1.4557033644008148</v>
      </c>
      <c r="CV6" s="88">
        <v>1.5542165586279693</v>
      </c>
      <c r="CW6" s="88">
        <v>0.54543519036470078</v>
      </c>
      <c r="CX6" s="88">
        <v>1.0736564611401815</v>
      </c>
      <c r="CY6" s="88">
        <v>1.2320036947222555</v>
      </c>
      <c r="CZ6" s="88">
        <v>2.7316774667470014</v>
      </c>
      <c r="DA6" s="88">
        <v>0.22677736138974142</v>
      </c>
      <c r="DB6" s="88">
        <v>1.4648806307327125</v>
      </c>
      <c r="DC6" s="88">
        <v>-0.23164604659740132</v>
      </c>
      <c r="DD6" s="88">
        <v>-0.80473171567083179</v>
      </c>
      <c r="DE6" s="88">
        <v>0.80473043003584788</v>
      </c>
      <c r="DF6" s="88">
        <v>0.5486934962846215</v>
      </c>
      <c r="DG6" s="88">
        <v>1.0293882898116615</v>
      </c>
      <c r="DH6" s="88">
        <v>1.3356662839333435</v>
      </c>
      <c r="DI6" s="88">
        <v>-0.31766649948115266</v>
      </c>
      <c r="DJ6" s="88">
        <v>1.404694400701195</v>
      </c>
      <c r="DK6" s="88">
        <v>1.7645460672988367</v>
      </c>
      <c r="DL6" s="88">
        <v>1.9118417735822035</v>
      </c>
      <c r="DM6" s="88">
        <v>1.2627567080258373</v>
      </c>
      <c r="DN6" s="88">
        <v>2.5894473056144505</v>
      </c>
      <c r="DO6" s="88">
        <v>1.0180153016484796</v>
      </c>
      <c r="DP6" s="88">
        <v>1.1297130739234742</v>
      </c>
      <c r="DQ6" s="88">
        <v>1.3989161587096832</v>
      </c>
      <c r="DR6" s="88">
        <v>1.3733518308463646</v>
      </c>
      <c r="DS6" s="89">
        <v>0.44720711121955042</v>
      </c>
      <c r="DT6" s="89">
        <v>-0.9254163622051309</v>
      </c>
      <c r="DU6" s="89">
        <v>-0.60106295704404966</v>
      </c>
      <c r="DV6" s="89">
        <v>1.1089554470530525</v>
      </c>
      <c r="DW6" s="89">
        <v>1.6624896121385278</v>
      </c>
      <c r="DX6" s="89">
        <v>-0.37345009147561403</v>
      </c>
      <c r="DY6" s="89">
        <v>1.3884445695433096</v>
      </c>
      <c r="DZ6" s="89">
        <v>1.5758683652707035</v>
      </c>
      <c r="EA6" s="89">
        <v>2.031945304133572</v>
      </c>
      <c r="EB6" s="89">
        <v>1.9195869250281148</v>
      </c>
      <c r="EC6" s="89">
        <v>1.9392228816115249</v>
      </c>
      <c r="ED6" s="89">
        <v>1.8132961633410318</v>
      </c>
      <c r="EE6" s="89">
        <v>1.9928185666021192</v>
      </c>
      <c r="EF6" s="89">
        <v>1.2626636098457007</v>
      </c>
      <c r="EG6" s="89">
        <v>-0.27842414529810605</v>
      </c>
      <c r="EH6" s="89">
        <v>-0.41614774948653777</v>
      </c>
      <c r="EI6" s="89">
        <v>1.2024392370892863E-2</v>
      </c>
      <c r="EJ6" s="89">
        <v>0.38282301985484074</v>
      </c>
      <c r="EK6" s="89">
        <v>0.8987461711074235</v>
      </c>
      <c r="EL6" s="89">
        <v>-0.83773101199515398</v>
      </c>
      <c r="EM6" s="89">
        <v>1.0992226728426795</v>
      </c>
      <c r="EN6" s="89">
        <v>1.48786927772752</v>
      </c>
      <c r="EO6" s="89">
        <v>0.87219907449695711</v>
      </c>
      <c r="EP6" s="89">
        <v>1.1788901590781087</v>
      </c>
      <c r="EQ6" s="89">
        <v>1.2564987858709151</v>
      </c>
      <c r="ER6" s="89">
        <v>1.0202658232867681</v>
      </c>
    </row>
    <row r="7" spans="1:148" x14ac:dyDescent="0.25">
      <c r="A7" s="87">
        <v>450</v>
      </c>
      <c r="B7" s="87">
        <v>-4.6544842403690501E-2</v>
      </c>
      <c r="C7" s="87">
        <v>0.59550822493641387</v>
      </c>
      <c r="D7" s="87">
        <v>1.7630909078948838</v>
      </c>
      <c r="E7" s="87">
        <v>-1.0337654215074024</v>
      </c>
      <c r="F7" s="87">
        <v>-1.1733167111244278</v>
      </c>
      <c r="G7" s="87">
        <v>-0.36361402989560143</v>
      </c>
      <c r="H7" s="87">
        <v>0.88033862357291526</v>
      </c>
      <c r="I7" s="87">
        <v>1.1513020947550285</v>
      </c>
      <c r="J7" s="87">
        <v>-0.23827134567652763</v>
      </c>
      <c r="K7" s="87">
        <v>-2.983650601240732E-2</v>
      </c>
      <c r="L7" s="87">
        <v>-0.57705105124719269</v>
      </c>
      <c r="M7" s="87">
        <v>-0.77349199132117652</v>
      </c>
      <c r="N7" s="87">
        <v>450</v>
      </c>
      <c r="O7" s="87">
        <v>1.987051575</v>
      </c>
      <c r="P7" s="87">
        <v>-0.12899955499999999</v>
      </c>
      <c r="Q7" s="87">
        <v>2.2741972380000002</v>
      </c>
      <c r="R7" s="87">
        <v>-1.7563662170000001</v>
      </c>
      <c r="S7" s="87">
        <v>6.8349828000000001E-2</v>
      </c>
      <c r="T7" s="87">
        <v>-0.221619225</v>
      </c>
      <c r="U7" s="87">
        <v>0.83474378599999999</v>
      </c>
      <c r="V7" s="87">
        <v>0.12608198600000001</v>
      </c>
      <c r="W7" s="87">
        <v>0.52739871500000002</v>
      </c>
      <c r="X7" s="87">
        <v>1.455464887</v>
      </c>
      <c r="Y7" s="87">
        <v>-2.9099918800000002</v>
      </c>
      <c r="Z7" s="88">
        <v>-0.22052708900000001</v>
      </c>
      <c r="AA7" s="88">
        <v>-0.18684176</v>
      </c>
      <c r="AB7" s="88">
        <v>-0.11498873699999999</v>
      </c>
      <c r="AC7" s="88">
        <v>-0.15805971899999999</v>
      </c>
      <c r="AD7" s="88">
        <v>-0.16464019499999999</v>
      </c>
      <c r="AE7" s="88">
        <v>-0.22808239399999999</v>
      </c>
      <c r="AF7" s="89">
        <v>-0.54258846000000005</v>
      </c>
      <c r="AG7" s="89">
        <v>-0.19080228399999999</v>
      </c>
      <c r="AH7" s="89">
        <v>-0.50276970600000004</v>
      </c>
      <c r="AI7" s="89">
        <v>3.2482253000000003E-2</v>
      </c>
      <c r="AJ7" s="89">
        <v>0.49261380399999999</v>
      </c>
      <c r="AK7" s="89">
        <v>0.87032011200000003</v>
      </c>
      <c r="AL7" s="89">
        <v>1.0250800390000001</v>
      </c>
      <c r="AM7" s="89">
        <v>0.96957530999999997</v>
      </c>
      <c r="AN7" s="89">
        <v>0.87143768300000002</v>
      </c>
      <c r="AO7" s="90">
        <v>1.978920255</v>
      </c>
      <c r="AP7" s="89">
        <v>2.5683819190000001</v>
      </c>
      <c r="AQ7" s="89">
        <v>3.103985507</v>
      </c>
      <c r="AR7" s="89">
        <v>3.7945157E-2</v>
      </c>
      <c r="AS7" s="89">
        <v>-0.21196862899999999</v>
      </c>
      <c r="AT7" s="89">
        <v>5.9707322E-2</v>
      </c>
      <c r="AU7" s="89">
        <v>-0.29172167799999998</v>
      </c>
      <c r="AV7" s="89">
        <v>-0.87802774400000005</v>
      </c>
      <c r="AW7" s="89">
        <v>-2.5731091770000001</v>
      </c>
      <c r="AX7" s="89">
        <v>-0.90561528400000002</v>
      </c>
      <c r="AY7" s="89">
        <v>2.3420429999999999E-2</v>
      </c>
      <c r="AZ7" s="89">
        <v>0.64492093399999995</v>
      </c>
      <c r="BA7" s="89">
        <v>0.88787667599999998</v>
      </c>
      <c r="BB7" s="89">
        <v>1.798026694</v>
      </c>
      <c r="BC7" s="89">
        <v>0.89151438299999997</v>
      </c>
      <c r="BD7" s="89">
        <v>1.6158324120000001</v>
      </c>
      <c r="BE7" s="89">
        <v>0.27327659300000001</v>
      </c>
      <c r="BF7" s="89">
        <v>1.5457701850000001</v>
      </c>
      <c r="BG7" s="89">
        <v>1.0382312709999999</v>
      </c>
      <c r="BH7" s="89">
        <v>0.96436823100000002</v>
      </c>
      <c r="BI7" s="89">
        <v>0.40779374899999998</v>
      </c>
      <c r="BJ7" s="89">
        <v>-0.14978283000000001</v>
      </c>
      <c r="BK7" s="89">
        <v>-0.12508656200000001</v>
      </c>
      <c r="BL7" s="89">
        <v>-0.52694955499999996</v>
      </c>
      <c r="BM7" s="89">
        <v>-0.64932671799999997</v>
      </c>
      <c r="BN7" s="89">
        <v>-0.51511859199999999</v>
      </c>
      <c r="BO7" s="89">
        <v>1.363882445</v>
      </c>
      <c r="BP7" s="89">
        <v>-0.78263948900000002</v>
      </c>
      <c r="BQ7" s="89">
        <v>0.47393402800000001</v>
      </c>
      <c r="BR7" s="89">
        <v>-1.56819183</v>
      </c>
      <c r="BS7" s="89">
        <v>2.09801495</v>
      </c>
      <c r="BT7" s="89">
        <v>-2.04060972</v>
      </c>
      <c r="BU7" s="89">
        <v>0.30693447000000001</v>
      </c>
      <c r="BV7" s="89">
        <v>1.0811377360000001</v>
      </c>
      <c r="BW7" s="88">
        <v>3.1674901000000002</v>
      </c>
      <c r="BX7" s="88">
        <v>3.2422529469999999</v>
      </c>
      <c r="BY7" s="88">
        <v>-0.99856628000000003</v>
      </c>
      <c r="BZ7" s="88">
        <v>0.75611060500000005</v>
      </c>
      <c r="CA7" s="88">
        <v>1.222241989</v>
      </c>
      <c r="CB7" s="88">
        <v>1.187259531</v>
      </c>
      <c r="CC7" s="88">
        <v>-1.7226579950000001</v>
      </c>
      <c r="CD7" s="88">
        <v>-1.553551436</v>
      </c>
      <c r="CE7" s="88">
        <v>1.3116672715134305</v>
      </c>
      <c r="CF7" s="88">
        <v>0.98890468950799804</v>
      </c>
      <c r="CG7" s="88">
        <v>-0.22793955241304234</v>
      </c>
      <c r="CH7" s="88">
        <v>0.74958282804403387</v>
      </c>
      <c r="CI7" s="88">
        <v>0.23736568779191691</v>
      </c>
      <c r="CJ7" s="88">
        <v>0.50668379366505933</v>
      </c>
      <c r="CK7" s="88">
        <v>0.74993798081811147</v>
      </c>
      <c r="CL7" s="88">
        <v>0.58819788292196884</v>
      </c>
      <c r="CM7" s="88">
        <v>0.34366411945114889</v>
      </c>
      <c r="CN7" s="88">
        <v>1.22869467087552</v>
      </c>
      <c r="CO7" s="88">
        <v>-1.2807951344212969</v>
      </c>
      <c r="CP7" s="88">
        <v>1.1427183078366248</v>
      </c>
      <c r="CQ7" s="88">
        <v>-0.73643479303324344</v>
      </c>
      <c r="CR7" s="88">
        <v>1.0806846704119955</v>
      </c>
      <c r="CS7" s="88">
        <v>0.26934875038036915</v>
      </c>
      <c r="CT7" s="88">
        <v>-0.88480054867111679</v>
      </c>
      <c r="CU7" s="88">
        <v>1.1224349878940889</v>
      </c>
      <c r="CV7" s="88">
        <v>1.2467583282306038</v>
      </c>
      <c r="CW7" s="88">
        <v>0.21074180952124771</v>
      </c>
      <c r="CX7" s="88">
        <v>0.6760190471028078</v>
      </c>
      <c r="CY7" s="88">
        <v>1.541972530399605</v>
      </c>
      <c r="CZ7" s="88">
        <v>3.2180274025330275</v>
      </c>
      <c r="DA7" s="88">
        <v>0.93527361135781073</v>
      </c>
      <c r="DB7" s="88">
        <v>0.6340427493437153</v>
      </c>
      <c r="DC7" s="88">
        <v>-1.7040928260771657</v>
      </c>
      <c r="DD7" s="88">
        <v>-1.1364484481364145</v>
      </c>
      <c r="DE7" s="88">
        <v>0.90542976514938311</v>
      </c>
      <c r="DF7" s="88">
        <v>0.36210150603399949</v>
      </c>
      <c r="DG7" s="88">
        <v>1.0040292175692527</v>
      </c>
      <c r="DH7" s="88">
        <v>-0.32026744959729275</v>
      </c>
      <c r="DI7" s="88">
        <v>-4.8898069794055969E-2</v>
      </c>
      <c r="DJ7" s="88">
        <v>1.3976503500824229</v>
      </c>
      <c r="DK7" s="88">
        <v>1.2767680784612991</v>
      </c>
      <c r="DL7" s="88">
        <v>1.2740173488558169</v>
      </c>
      <c r="DM7" s="88">
        <v>0.29199128208962777</v>
      </c>
      <c r="DN7" s="88">
        <v>2.3468205648006633</v>
      </c>
      <c r="DO7" s="88">
        <v>0.64929897511579238</v>
      </c>
      <c r="DP7" s="88">
        <v>0.74384671566810545</v>
      </c>
      <c r="DQ7" s="88">
        <v>1.1850945481956252</v>
      </c>
      <c r="DR7" s="88">
        <v>0.94808991044881241</v>
      </c>
      <c r="DS7" s="89">
        <v>0.44292358212320726</v>
      </c>
      <c r="DT7" s="89">
        <v>0.57845189688622189</v>
      </c>
      <c r="DU7" s="89">
        <v>0.29508229491708199</v>
      </c>
      <c r="DV7" s="89">
        <v>0.92962399159395492</v>
      </c>
      <c r="DW7" s="89">
        <v>1.1625860948176376</v>
      </c>
      <c r="DX7" s="89">
        <v>-0.4502025428852755</v>
      </c>
      <c r="DY7" s="89">
        <v>1.1844845577967171</v>
      </c>
      <c r="DZ7" s="89">
        <v>0.44249458674387143</v>
      </c>
      <c r="EA7" s="89">
        <v>1.5685772608829456</v>
      </c>
      <c r="EB7" s="89">
        <v>1.5862104466356033</v>
      </c>
      <c r="EC7" s="89">
        <v>1.6786923476464959</v>
      </c>
      <c r="ED7" s="89">
        <v>1.5534205594151407</v>
      </c>
      <c r="EE7" s="89">
        <v>1.4574491634771156</v>
      </c>
      <c r="EF7" s="89">
        <v>0.66373959568937535</v>
      </c>
      <c r="EG7" s="89">
        <v>-0.45527078332282084</v>
      </c>
      <c r="EH7" s="89">
        <v>-0.61376575274235268</v>
      </c>
      <c r="EI7" s="89">
        <v>-0.40221957701273348</v>
      </c>
      <c r="EJ7" s="89">
        <v>-0.10405831780962788</v>
      </c>
      <c r="EK7" s="89">
        <v>0.88423489724617432</v>
      </c>
      <c r="EL7" s="89">
        <v>-0.83264298556006267</v>
      </c>
      <c r="EM7" s="89">
        <v>1.1384508282831676</v>
      </c>
      <c r="EN7" s="89">
        <v>1.0183865239958241</v>
      </c>
      <c r="EO7" s="89">
        <v>1.0164852339941028</v>
      </c>
      <c r="EP7" s="89">
        <v>0.92392794788577226</v>
      </c>
      <c r="EQ7" s="89">
        <v>0.8666242246645548</v>
      </c>
      <c r="ER7" s="89">
        <v>0.13367951561175712</v>
      </c>
    </row>
    <row r="8" spans="1:148" x14ac:dyDescent="0.25">
      <c r="A8" s="87">
        <v>460</v>
      </c>
      <c r="B8" s="87">
        <v>-0.17209042834795915</v>
      </c>
      <c r="C8" s="87">
        <v>1.1857117396323937</v>
      </c>
      <c r="D8" s="87">
        <v>1.4262926314344035</v>
      </c>
      <c r="E8" s="87">
        <v>-1.2687624387224408</v>
      </c>
      <c r="F8" s="87">
        <v>-0.67116253267158099</v>
      </c>
      <c r="G8" s="87">
        <v>-0.61582823651854024</v>
      </c>
      <c r="H8" s="87">
        <v>0.93631715112929181</v>
      </c>
      <c r="I8" s="87">
        <v>1.0350013748077991</v>
      </c>
      <c r="J8" s="87">
        <v>-0.30240486057568883</v>
      </c>
      <c r="K8" s="87">
        <v>-0.20191681975838441</v>
      </c>
      <c r="L8" s="87">
        <v>-0.82093806934988878</v>
      </c>
      <c r="M8" s="87">
        <v>-1.0887092624896886</v>
      </c>
      <c r="N8" s="87">
        <v>460</v>
      </c>
      <c r="O8" s="87">
        <v>0.85097995500000001</v>
      </c>
      <c r="P8" s="87">
        <v>-0.33072410899999999</v>
      </c>
      <c r="Q8" s="87">
        <v>1.1148219880000001</v>
      </c>
      <c r="R8" s="87">
        <v>-1.8010403020000001</v>
      </c>
      <c r="S8" s="87">
        <v>3.1591331569999999</v>
      </c>
      <c r="T8" s="87">
        <v>0.84527140099999998</v>
      </c>
      <c r="U8" s="87">
        <v>0.99052203500000002</v>
      </c>
      <c r="V8" s="87">
        <v>5.5976773000000001E-2</v>
      </c>
      <c r="W8" s="87">
        <v>0.48469649199999998</v>
      </c>
      <c r="X8" s="87">
        <v>0.164292465</v>
      </c>
      <c r="Y8" s="87">
        <v>0.46951242599999998</v>
      </c>
      <c r="Z8" s="88">
        <v>-0.21743832499999999</v>
      </c>
      <c r="AA8" s="88">
        <v>-0.16911253600000001</v>
      </c>
      <c r="AB8" s="88">
        <v>-0.247786795</v>
      </c>
      <c r="AC8" s="88">
        <v>-0.135775911</v>
      </c>
      <c r="AD8" s="88">
        <v>-0.217744247</v>
      </c>
      <c r="AE8" s="88">
        <v>-0.21585868999999999</v>
      </c>
      <c r="AF8" s="89">
        <v>-0.43792535999999999</v>
      </c>
      <c r="AG8" s="89">
        <v>-0.13256795699999999</v>
      </c>
      <c r="AH8" s="89">
        <v>-0.461750573</v>
      </c>
      <c r="AI8" s="89">
        <v>8.2324235999999995E-2</v>
      </c>
      <c r="AJ8" s="89">
        <v>0.193221854</v>
      </c>
      <c r="AK8" s="89">
        <v>0.47769021499999997</v>
      </c>
      <c r="AL8" s="89">
        <v>0.69358377999999998</v>
      </c>
      <c r="AM8" s="89">
        <v>0.62397317200000002</v>
      </c>
      <c r="AN8" s="89">
        <v>0.52084290700000002</v>
      </c>
      <c r="AO8" s="90">
        <v>0.91180678000000004</v>
      </c>
      <c r="AP8" s="89">
        <v>2.3476142329999998</v>
      </c>
      <c r="AQ8" s="89">
        <v>0.45138678100000001</v>
      </c>
      <c r="AR8" s="89">
        <v>-3.5444714000000002E-2</v>
      </c>
      <c r="AS8" s="89">
        <v>-0.34716903599999999</v>
      </c>
      <c r="AT8" s="89">
        <v>1.9037465999999999E-2</v>
      </c>
      <c r="AU8" s="89">
        <v>-0.60983451300000002</v>
      </c>
      <c r="AV8" s="89">
        <v>-0.81734251300000005</v>
      </c>
      <c r="AW8" s="89">
        <v>-1.349904209</v>
      </c>
      <c r="AX8" s="89">
        <v>-1.4157290259999999</v>
      </c>
      <c r="AY8" s="89">
        <v>-0.334299495</v>
      </c>
      <c r="AZ8" s="89">
        <v>0.217164305</v>
      </c>
      <c r="BA8" s="89">
        <v>0.94966026000000003</v>
      </c>
      <c r="BB8" s="89">
        <v>1.2032138729999999</v>
      </c>
      <c r="BC8" s="89">
        <v>1.951927776</v>
      </c>
      <c r="BD8" s="89">
        <v>1.340405555</v>
      </c>
      <c r="BE8" s="89">
        <v>1.6176419070000001</v>
      </c>
      <c r="BF8" s="89">
        <v>0.392135815</v>
      </c>
      <c r="BG8" s="89">
        <v>1.4782999939999999</v>
      </c>
      <c r="BH8" s="89">
        <v>0.13300687999999999</v>
      </c>
      <c r="BI8" s="89">
        <v>0.403162929</v>
      </c>
      <c r="BJ8" s="89">
        <v>-0.31697742800000001</v>
      </c>
      <c r="BK8" s="89">
        <v>-0.34340941200000002</v>
      </c>
      <c r="BL8" s="89">
        <v>0.51817697200000001</v>
      </c>
      <c r="BM8" s="89">
        <v>0.630873774</v>
      </c>
      <c r="BN8" s="89">
        <v>0.43387988999999999</v>
      </c>
      <c r="BO8" s="89">
        <v>0.39950502700000001</v>
      </c>
      <c r="BP8" s="89">
        <v>-0.124960301</v>
      </c>
      <c r="BQ8" s="89">
        <v>0.33358516199999999</v>
      </c>
      <c r="BR8" s="89">
        <v>-1.7385145740000001</v>
      </c>
      <c r="BS8" s="89">
        <v>3.150796776</v>
      </c>
      <c r="BT8" s="89">
        <v>-0.59514381000000005</v>
      </c>
      <c r="BU8" s="89">
        <v>0.55134534800000001</v>
      </c>
      <c r="BV8" s="89">
        <v>-0.78647587799999996</v>
      </c>
      <c r="BW8" s="88">
        <v>1.0890826600000001</v>
      </c>
      <c r="BX8" s="88">
        <v>1.7174697109999999</v>
      </c>
      <c r="BY8" s="88">
        <v>-0.50095531599999998</v>
      </c>
      <c r="BZ8" s="88">
        <v>-0.83945250699999996</v>
      </c>
      <c r="CA8" s="88">
        <v>4.3691061000000003E-2</v>
      </c>
      <c r="CB8" s="88">
        <v>-0.40675955600000002</v>
      </c>
      <c r="CC8" s="88">
        <v>-1.5911341510000001</v>
      </c>
      <c r="CD8" s="88">
        <v>-0.35252323099999999</v>
      </c>
      <c r="CE8" s="88">
        <v>1.3396304444999327</v>
      </c>
      <c r="CF8" s="88">
        <v>0.69612443285423331</v>
      </c>
      <c r="CG8" s="88">
        <v>0.20096844191600938</v>
      </c>
      <c r="CH8" s="88">
        <v>0.20574023109610992</v>
      </c>
      <c r="CI8" s="88">
        <v>-0.28265578909206446</v>
      </c>
      <c r="CJ8" s="88">
        <v>1.2377915803100361</v>
      </c>
      <c r="CK8" s="88">
        <v>0.36878786549327741</v>
      </c>
      <c r="CL8" s="88">
        <v>9.3164409560566354E-3</v>
      </c>
      <c r="CM8" s="88">
        <v>0.48434129208147431</v>
      </c>
      <c r="CN8" s="88">
        <v>1.2943270956669384</v>
      </c>
      <c r="CO8" s="88">
        <v>-1.4641986627295365</v>
      </c>
      <c r="CP8" s="88">
        <v>1.3601388176956664</v>
      </c>
      <c r="CQ8" s="88">
        <v>-1.1398040422028353</v>
      </c>
      <c r="CR8" s="88">
        <v>0.94336639862909122</v>
      </c>
      <c r="CS8" s="88">
        <v>0.94355628745060172</v>
      </c>
      <c r="CT8" s="88">
        <v>-0.89252228456388027</v>
      </c>
      <c r="CU8" s="88">
        <v>0.44254307271384746</v>
      </c>
      <c r="CV8" s="88">
        <v>0.88522677561256813</v>
      </c>
      <c r="CW8" s="88">
        <v>3.8719233103350723E-2</v>
      </c>
      <c r="CX8" s="88">
        <v>0.50383683083036435</v>
      </c>
      <c r="CY8" s="88">
        <v>0.9982063413217489</v>
      </c>
      <c r="CZ8" s="88">
        <v>2.167301052096688</v>
      </c>
      <c r="DA8" s="88">
        <v>1.5088285196534277</v>
      </c>
      <c r="DB8" s="88">
        <v>-0.25244345182354549</v>
      </c>
      <c r="DC8" s="88">
        <v>-1.3664104556163483</v>
      </c>
      <c r="DD8" s="88">
        <v>-0.9548009668827846</v>
      </c>
      <c r="DE8" s="88">
        <v>0.33126723696383614</v>
      </c>
      <c r="DF8" s="88">
        <v>1.2892708762584981</v>
      </c>
      <c r="DG8" s="88">
        <v>0.83446801353195921</v>
      </c>
      <c r="DH8" s="88">
        <v>-1.224929213865422</v>
      </c>
      <c r="DI8" s="88">
        <v>-0.42842788093699119</v>
      </c>
      <c r="DJ8" s="88">
        <v>0.72775294548267455</v>
      </c>
      <c r="DK8" s="88">
        <v>0.81547672574417562</v>
      </c>
      <c r="DL8" s="88">
        <v>0.38746964097981584</v>
      </c>
      <c r="DM8" s="88">
        <v>-0.58779113045765641</v>
      </c>
      <c r="DN8" s="88">
        <v>1.6287590699794969</v>
      </c>
      <c r="DO8" s="88">
        <v>0.27464566748980368</v>
      </c>
      <c r="DP8" s="88">
        <v>0.65941706204504902</v>
      </c>
      <c r="DQ8" s="88">
        <v>0.65244451770357093</v>
      </c>
      <c r="DR8" s="88">
        <v>-6.8909515995684194E-3</v>
      </c>
      <c r="DS8" s="89">
        <v>0.50737990825614154</v>
      </c>
      <c r="DT8" s="89">
        <v>1.821817098544112</v>
      </c>
      <c r="DU8" s="89">
        <v>-0.35549145664497861</v>
      </c>
      <c r="DV8" s="89">
        <v>0.57780132305288201</v>
      </c>
      <c r="DW8" s="89">
        <v>0.62933346260515077</v>
      </c>
      <c r="DX8" s="89">
        <v>-0.73611207439300419</v>
      </c>
      <c r="DY8" s="89">
        <v>0.56601035056014926</v>
      </c>
      <c r="DZ8" s="89">
        <v>-0.35967407765888887</v>
      </c>
      <c r="EA8" s="89">
        <v>0.98096622295398528</v>
      </c>
      <c r="EB8" s="89">
        <v>1.0861490627115677</v>
      </c>
      <c r="EC8" s="89">
        <v>1.074141876777841</v>
      </c>
      <c r="ED8" s="89">
        <v>0.8635045186218997</v>
      </c>
      <c r="EE8" s="89">
        <v>0.65424803168103718</v>
      </c>
      <c r="EF8" s="89">
        <v>0.24399988602223247</v>
      </c>
      <c r="EG8" s="89">
        <v>-0.68151606116036767</v>
      </c>
      <c r="EH8" s="89">
        <v>-0.76890539180222228</v>
      </c>
      <c r="EI8" s="89">
        <v>-0.75803386412009321</v>
      </c>
      <c r="EJ8" s="89">
        <v>-0.56568371604754675</v>
      </c>
      <c r="EK8" s="89">
        <v>0.87135631281475523</v>
      </c>
      <c r="EL8" s="89">
        <v>-0.84932110912692926</v>
      </c>
      <c r="EM8" s="89">
        <v>0.86493694243040709</v>
      </c>
      <c r="EN8" s="89">
        <v>0.55659129674214858</v>
      </c>
      <c r="EO8" s="89">
        <v>1.2954750138222686</v>
      </c>
      <c r="EP8" s="89">
        <v>0.75119464904640854</v>
      </c>
      <c r="EQ8" s="89">
        <v>0.44413901526657279</v>
      </c>
      <c r="ER8" s="89">
        <v>-0.68028706087134427</v>
      </c>
    </row>
    <row r="9" spans="1:148" x14ac:dyDescent="0.25">
      <c r="A9" s="87">
        <v>470</v>
      </c>
      <c r="B9" s="87">
        <v>0.31064119084620057</v>
      </c>
      <c r="C9" s="87">
        <v>1.1136258141733426</v>
      </c>
      <c r="D9" s="87">
        <v>1.2397209243303966</v>
      </c>
      <c r="E9" s="87">
        <v>-1.2397178635610315</v>
      </c>
      <c r="F9" s="87">
        <v>-0.7168129125309306</v>
      </c>
      <c r="G9" s="87">
        <v>-1.226962660258738</v>
      </c>
      <c r="H9" s="87">
        <v>1.1139042040667619</v>
      </c>
      <c r="I9" s="87">
        <v>0.69540327256188783</v>
      </c>
      <c r="J9" s="87">
        <v>0.31018078173698876</v>
      </c>
      <c r="K9" s="87">
        <v>-0.58431751697166678</v>
      </c>
      <c r="L9" s="87">
        <v>-0.64420834608706545</v>
      </c>
      <c r="M9" s="87">
        <v>-1.2843613618356617</v>
      </c>
      <c r="N9" s="87">
        <v>470</v>
      </c>
      <c r="O9" s="87">
        <v>1.173213455</v>
      </c>
      <c r="P9" s="87">
        <v>-0.59257822800000004</v>
      </c>
      <c r="Q9" s="87">
        <v>0.117366075</v>
      </c>
      <c r="R9" s="87">
        <v>0.23761866500000001</v>
      </c>
      <c r="S9" s="87">
        <v>2.9705565009999999</v>
      </c>
      <c r="T9" s="87">
        <v>2.0364539110000002</v>
      </c>
      <c r="U9" s="87">
        <v>1.0209714000000001</v>
      </c>
      <c r="V9" s="87">
        <v>-4.6642902E-2</v>
      </c>
      <c r="W9" s="87">
        <v>0.380859536</v>
      </c>
      <c r="X9" s="87">
        <v>-0.13440300499999999</v>
      </c>
      <c r="Y9" s="87">
        <v>3.637769246</v>
      </c>
      <c r="Z9" s="88">
        <v>-0.19225751199999999</v>
      </c>
      <c r="AA9" s="88">
        <v>-0.20534930300000001</v>
      </c>
      <c r="AB9" s="88">
        <v>-0.29954853199999998</v>
      </c>
      <c r="AC9" s="88">
        <v>-0.19136039599999999</v>
      </c>
      <c r="AD9" s="88">
        <v>-0.22601937999999999</v>
      </c>
      <c r="AE9" s="88">
        <v>-0.27439909699999998</v>
      </c>
      <c r="AF9" s="89">
        <v>-0.39935516700000001</v>
      </c>
      <c r="AG9" s="89">
        <v>-0.11465771600000001</v>
      </c>
      <c r="AH9" s="89">
        <v>-0.58952775099999999</v>
      </c>
      <c r="AI9" s="89">
        <v>0.10209114900000001</v>
      </c>
      <c r="AJ9" s="89">
        <v>-2.7178852999999999E-2</v>
      </c>
      <c r="AK9" s="89">
        <v>-1.5114832999999999E-2</v>
      </c>
      <c r="AL9" s="89">
        <v>8.3340217999999994E-2</v>
      </c>
      <c r="AM9" s="89">
        <v>0.163311185</v>
      </c>
      <c r="AN9" s="89">
        <v>5.7196458999999998E-2</v>
      </c>
      <c r="AO9" s="90">
        <v>0.40097619099999998</v>
      </c>
      <c r="AP9" s="89">
        <v>0.34562593699999999</v>
      </c>
      <c r="AQ9" s="89">
        <v>4.8244774999999997E-2</v>
      </c>
      <c r="AR9" s="89">
        <v>-0.12996317700000001</v>
      </c>
      <c r="AS9" s="89">
        <v>-0.50505707200000005</v>
      </c>
      <c r="AT9" s="89">
        <v>-1.3182315999999999E-2</v>
      </c>
      <c r="AU9" s="89">
        <v>-0.95659002800000004</v>
      </c>
      <c r="AV9" s="89">
        <v>-2.0313256530000001</v>
      </c>
      <c r="AW9" s="89">
        <v>1.110004301</v>
      </c>
      <c r="AX9" s="89">
        <v>-1.148899077</v>
      </c>
      <c r="AY9" s="89">
        <v>-0.84336986899999999</v>
      </c>
      <c r="AZ9" s="89">
        <v>-6.4911953999999994E-2</v>
      </c>
      <c r="BA9" s="89">
        <v>0.94561749100000003</v>
      </c>
      <c r="BB9" s="89">
        <v>0.31874620799999998</v>
      </c>
      <c r="BC9" s="89">
        <v>1.6072989769999999</v>
      </c>
      <c r="BD9" s="89">
        <v>0.97316974499999997</v>
      </c>
      <c r="BE9" s="89">
        <v>2.0408889619999999</v>
      </c>
      <c r="BF9" s="89">
        <v>0.331911283</v>
      </c>
      <c r="BG9" s="89">
        <v>0.953810928</v>
      </c>
      <c r="BH9" s="89">
        <v>0.121430046</v>
      </c>
      <c r="BI9" s="89">
        <v>-3.9420711999999997E-2</v>
      </c>
      <c r="BJ9" s="89">
        <v>-0.32222129100000002</v>
      </c>
      <c r="BK9" s="89">
        <v>-0.34552109399999997</v>
      </c>
      <c r="BL9" s="89">
        <v>0.18240515900000001</v>
      </c>
      <c r="BM9" s="89">
        <v>0.27760080500000001</v>
      </c>
      <c r="BN9" s="89">
        <v>0.45599079100000001</v>
      </c>
      <c r="BO9" s="89">
        <v>-1.3228738E-2</v>
      </c>
      <c r="BP9" s="89">
        <v>0.329155537</v>
      </c>
      <c r="BQ9" s="89">
        <v>-9.0509757999999996E-2</v>
      </c>
      <c r="BR9" s="89">
        <v>2.6331717160000001</v>
      </c>
      <c r="BS9" s="89">
        <v>1.998599582</v>
      </c>
      <c r="BT9" s="89">
        <v>2.1261933320000002</v>
      </c>
      <c r="BU9" s="89">
        <v>-0.232374899</v>
      </c>
      <c r="BV9" s="89">
        <v>0.60434678100000006</v>
      </c>
      <c r="BW9" s="88">
        <v>0.13596454299999999</v>
      </c>
      <c r="BX9" s="88">
        <v>0.59812347600000004</v>
      </c>
      <c r="BY9" s="88">
        <v>2.8543816E-2</v>
      </c>
      <c r="BZ9" s="88">
        <v>2.197552527</v>
      </c>
      <c r="CA9" s="88">
        <v>-0.40951233399999998</v>
      </c>
      <c r="CB9" s="88">
        <v>0.15718843199999999</v>
      </c>
      <c r="CC9" s="88">
        <v>-1.3362803640000001</v>
      </c>
      <c r="CD9" s="88">
        <v>1.133768246</v>
      </c>
      <c r="CE9" s="88">
        <v>1.4740245997087182</v>
      </c>
      <c r="CF9" s="88">
        <v>0.50350699932691989</v>
      </c>
      <c r="CG9" s="88">
        <v>-3.8337076446481606E-2</v>
      </c>
      <c r="CH9" s="88">
        <v>-5.788827122257343E-3</v>
      </c>
      <c r="CI9" s="88">
        <v>-0.42086920819774853</v>
      </c>
      <c r="CJ9" s="88">
        <v>1.9611852309033757</v>
      </c>
      <c r="CK9" s="88">
        <v>7.4542556783909739E-2</v>
      </c>
      <c r="CL9" s="88">
        <v>0.33756367788705938</v>
      </c>
      <c r="CM9" s="88">
        <v>0.18594963176997675</v>
      </c>
      <c r="CN9" s="88">
        <v>0.66740156249625526</v>
      </c>
      <c r="CO9" s="88">
        <v>-0.57328445440838505</v>
      </c>
      <c r="CP9" s="88">
        <v>1.4390958361155062</v>
      </c>
      <c r="CQ9" s="88">
        <v>-1.0766474610458732</v>
      </c>
      <c r="CR9" s="88">
        <v>0.80164314068569675</v>
      </c>
      <c r="CS9" s="88">
        <v>0.63448398483856883</v>
      </c>
      <c r="CT9" s="88">
        <v>-0.86768579506385668</v>
      </c>
      <c r="CU9" s="88">
        <v>0.13670229072638002</v>
      </c>
      <c r="CV9" s="88">
        <v>0.66954168375114098</v>
      </c>
      <c r="CW9" s="88">
        <v>2.6942736702747728E-3</v>
      </c>
      <c r="CX9" s="88">
        <v>0.46567954064292127</v>
      </c>
      <c r="CY9" s="88">
        <v>0.70741048079290192</v>
      </c>
      <c r="CZ9" s="88">
        <v>0.93016358708482516</v>
      </c>
      <c r="DA9" s="88">
        <v>1.213856769557881</v>
      </c>
      <c r="DB9" s="88">
        <v>0.44560805383336227</v>
      </c>
      <c r="DC9" s="88">
        <v>-0.79715767998766995</v>
      </c>
      <c r="DD9" s="88">
        <v>-0.87851842004593295</v>
      </c>
      <c r="DE9" s="88">
        <v>-0.34228882974373703</v>
      </c>
      <c r="DF9" s="88">
        <v>0.30234472075646246</v>
      </c>
      <c r="DG9" s="88">
        <v>0.55069765448532382</v>
      </c>
      <c r="DH9" s="88">
        <v>-0.6437320026316472</v>
      </c>
      <c r="DI9" s="88">
        <v>-1.2086856614896071</v>
      </c>
      <c r="DJ9" s="88">
        <v>0.28392861196213526</v>
      </c>
      <c r="DK9" s="88">
        <v>1.0222306213991774</v>
      </c>
      <c r="DL9" s="88">
        <v>0.16444393855413772</v>
      </c>
      <c r="DM9" s="88">
        <v>-0.5732509386413126</v>
      </c>
      <c r="DN9" s="88">
        <v>0.79360848993662525</v>
      </c>
      <c r="DO9" s="88">
        <v>6.980246017562719E-2</v>
      </c>
      <c r="DP9" s="88">
        <v>0.63085792934229057</v>
      </c>
      <c r="DQ9" s="88">
        <v>0.15170991899902977</v>
      </c>
      <c r="DR9" s="88">
        <v>-0.30075845228348735</v>
      </c>
      <c r="DS9" s="89">
        <v>0.30272857747326198</v>
      </c>
      <c r="DT9" s="89">
        <v>0.47947156073036229</v>
      </c>
      <c r="DU9" s="89">
        <v>-1.1248615934668986</v>
      </c>
      <c r="DV9" s="89">
        <v>0.38393999929747968</v>
      </c>
      <c r="DW9" s="89">
        <v>0.18696233583878133</v>
      </c>
      <c r="DX9" s="89">
        <v>-0.38665948016866558</v>
      </c>
      <c r="DY9" s="89">
        <v>0.21425835159092252</v>
      </c>
      <c r="DZ9" s="89">
        <v>-0.30834883545340763</v>
      </c>
      <c r="EA9" s="89">
        <v>0.50678390627043313</v>
      </c>
      <c r="EB9" s="89">
        <v>0.58609101245230077</v>
      </c>
      <c r="EC9" s="89">
        <v>0.4184718621634857</v>
      </c>
      <c r="ED9" s="89">
        <v>0.54570917359783067</v>
      </c>
      <c r="EE9" s="89">
        <v>9.8686470982932067E-2</v>
      </c>
      <c r="EF9" s="89">
        <v>0.34832119106484222</v>
      </c>
      <c r="EG9" s="89">
        <v>-0.71246198729930355</v>
      </c>
      <c r="EH9" s="89">
        <v>-0.7531695602755949</v>
      </c>
      <c r="EI9" s="89">
        <v>-0.70613228724745203</v>
      </c>
      <c r="EJ9" s="89">
        <v>-0.63085639611224098</v>
      </c>
      <c r="EK9" s="89">
        <v>1.0035984136815785</v>
      </c>
      <c r="EL9" s="89">
        <v>-0.81769995753097091</v>
      </c>
      <c r="EM9" s="89">
        <v>0.33569532446754358</v>
      </c>
      <c r="EN9" s="89">
        <v>0.18385396754908814</v>
      </c>
      <c r="EO9" s="89">
        <v>1.2126508644858693</v>
      </c>
      <c r="EP9" s="89">
        <v>0.63504500574347522</v>
      </c>
      <c r="EQ9" s="89">
        <v>6.6119965898914371E-3</v>
      </c>
      <c r="ER9" s="89">
        <v>-0.73576431249919583</v>
      </c>
    </row>
    <row r="10" spans="1:148" x14ac:dyDescent="0.25">
      <c r="A10" s="87">
        <v>480</v>
      </c>
      <c r="B10" s="87">
        <v>0.58295133500700846</v>
      </c>
      <c r="C10" s="87">
        <v>1.1767009989500123</v>
      </c>
      <c r="D10" s="87">
        <v>0.98772796928082851</v>
      </c>
      <c r="E10" s="87">
        <v>-0.99415918265093506</v>
      </c>
      <c r="F10" s="87">
        <v>-0.28840165538934098</v>
      </c>
      <c r="G10" s="87">
        <v>-1.6004336969888588</v>
      </c>
      <c r="H10" s="87">
        <v>1.1776039078378111</v>
      </c>
      <c r="I10" s="87">
        <v>0.34650111272019829</v>
      </c>
      <c r="J10" s="87">
        <v>0.42075580742519775</v>
      </c>
      <c r="K10" s="87">
        <v>-0.9117481139605399</v>
      </c>
      <c r="L10" s="87">
        <v>-0.54170510659462801</v>
      </c>
      <c r="M10" s="87">
        <v>-1.219143995387004</v>
      </c>
      <c r="N10" s="87">
        <v>480</v>
      </c>
      <c r="O10" s="87">
        <v>1.1144695250000001</v>
      </c>
      <c r="P10" s="87">
        <v>-0.78538579900000005</v>
      </c>
      <c r="Q10" s="87">
        <v>-0.117453799</v>
      </c>
      <c r="R10" s="87">
        <v>2.6588688469999999</v>
      </c>
      <c r="S10" s="87">
        <v>0.91555657999999995</v>
      </c>
      <c r="T10" s="87">
        <v>1.983440571</v>
      </c>
      <c r="U10" s="87">
        <v>0.86186577399999997</v>
      </c>
      <c r="V10" s="87">
        <v>-0.135628584</v>
      </c>
      <c r="W10" s="87">
        <v>4.5353354999999998E-2</v>
      </c>
      <c r="X10" s="87">
        <v>-0.17733974599999999</v>
      </c>
      <c r="Y10" s="87">
        <v>1.735347397</v>
      </c>
      <c r="Z10" s="88">
        <v>-0.22409944000000001</v>
      </c>
      <c r="AA10" s="88">
        <v>-0.11951563900000001</v>
      </c>
      <c r="AB10" s="88">
        <v>-9.9022455999999995E-2</v>
      </c>
      <c r="AC10" s="88">
        <v>-0.12299178400000001</v>
      </c>
      <c r="AD10" s="88">
        <v>-0.17006211700000001</v>
      </c>
      <c r="AE10" s="88">
        <v>-0.21169283899999999</v>
      </c>
      <c r="AF10" s="89">
        <v>-0.370204374</v>
      </c>
      <c r="AG10" s="89">
        <v>-4.4170710000000002E-2</v>
      </c>
      <c r="AH10" s="89">
        <v>-0.60626030900000005</v>
      </c>
      <c r="AI10" s="89">
        <v>4.3680460000000004E-3</v>
      </c>
      <c r="AJ10" s="89">
        <v>5.9554807000000001E-2</v>
      </c>
      <c r="AK10" s="89">
        <v>-0.147759211</v>
      </c>
      <c r="AL10" s="89">
        <v>-0.13411463800000001</v>
      </c>
      <c r="AM10" s="89">
        <v>-4.1812863999999998E-2</v>
      </c>
      <c r="AN10" s="89">
        <v>-7.3222946999999997E-2</v>
      </c>
      <c r="AO10" s="90">
        <v>0.15230558299999999</v>
      </c>
      <c r="AP10" s="89">
        <v>7.1038657000000005E-2</v>
      </c>
      <c r="AQ10" s="89">
        <v>-7.1873372000000005E-2</v>
      </c>
      <c r="AR10" s="89">
        <v>-0.23329228199999999</v>
      </c>
      <c r="AS10" s="89">
        <v>-0.76666634</v>
      </c>
      <c r="AT10" s="89">
        <v>-4.6320396E-2</v>
      </c>
      <c r="AU10" s="89">
        <v>-1.393022194</v>
      </c>
      <c r="AV10" s="89">
        <v>-1.9341193489999999</v>
      </c>
      <c r="AW10" s="89">
        <v>1.8829830999999998E-2</v>
      </c>
      <c r="AX10" s="89">
        <v>0.77862638799999995</v>
      </c>
      <c r="AY10" s="89">
        <v>-1.0435215849999999</v>
      </c>
      <c r="AZ10" s="89">
        <v>7.7802599E-2</v>
      </c>
      <c r="BA10" s="89">
        <v>0.56505400500000003</v>
      </c>
      <c r="BB10" s="89">
        <v>0.120217141</v>
      </c>
      <c r="BC10" s="89">
        <v>1.0505789249999999</v>
      </c>
      <c r="BD10" s="89">
        <v>1.10090394</v>
      </c>
      <c r="BE10" s="89">
        <v>2.295289463</v>
      </c>
      <c r="BF10" s="89">
        <v>0.93469193299999997</v>
      </c>
      <c r="BG10" s="89">
        <v>0.19747357500000001</v>
      </c>
      <c r="BH10" s="89">
        <v>0.42170416399999999</v>
      </c>
      <c r="BI10" s="89">
        <v>1.9599867449999999</v>
      </c>
      <c r="BJ10" s="89">
        <v>-0.40808482200000001</v>
      </c>
      <c r="BK10" s="89">
        <v>-0.40941419499999998</v>
      </c>
      <c r="BL10" s="89">
        <v>0.83388784299999996</v>
      </c>
      <c r="BM10" s="89">
        <v>0.58123886499999999</v>
      </c>
      <c r="BN10" s="89">
        <v>0.947009341</v>
      </c>
      <c r="BO10" s="89">
        <v>-9.3157712000000004E-2</v>
      </c>
      <c r="BP10" s="89">
        <v>1.0782477429999999</v>
      </c>
      <c r="BQ10" s="89">
        <v>2.0501175460000001</v>
      </c>
      <c r="BR10" s="89">
        <v>3.5016954720000002</v>
      </c>
      <c r="BS10" s="89">
        <v>0.64941004099999999</v>
      </c>
      <c r="BT10" s="89">
        <v>2.8068067050000001</v>
      </c>
      <c r="BU10" s="89">
        <v>1.639719613</v>
      </c>
      <c r="BV10" s="89">
        <v>3.6117987149999999</v>
      </c>
      <c r="BW10" s="88">
        <v>-8.3727915E-2</v>
      </c>
      <c r="BX10" s="88">
        <v>4.9154280000000002E-2</v>
      </c>
      <c r="BY10" s="88">
        <v>0.748904126</v>
      </c>
      <c r="BZ10" s="88">
        <v>3.556275592</v>
      </c>
      <c r="CA10" s="88">
        <v>2.9773323220000001</v>
      </c>
      <c r="CB10" s="88">
        <v>3.4801862219999999</v>
      </c>
      <c r="CC10" s="88">
        <v>-1.0270221390000001</v>
      </c>
      <c r="CD10" s="88">
        <v>-0.26983352599999999</v>
      </c>
      <c r="CE10" s="88">
        <v>1.2081026465928337</v>
      </c>
      <c r="CF10" s="88">
        <v>0.46956889218195014</v>
      </c>
      <c r="CG10" s="88">
        <v>-0.17198915972802256</v>
      </c>
      <c r="CH10" s="88">
        <v>0.26781476141579363</v>
      </c>
      <c r="CI10" s="88">
        <v>-0.46686052851726845</v>
      </c>
      <c r="CJ10" s="88">
        <v>1.8364417818890273</v>
      </c>
      <c r="CK10" s="88">
        <v>0.19754492023470818</v>
      </c>
      <c r="CL10" s="88">
        <v>0.2754100574701232</v>
      </c>
      <c r="CM10" s="88">
        <v>-0.16621021769721317</v>
      </c>
      <c r="CN10" s="88">
        <v>0.34096877470055809</v>
      </c>
      <c r="CO10" s="88">
        <v>1.0772758580537338</v>
      </c>
      <c r="CP10" s="88">
        <v>1.1806710578240533</v>
      </c>
      <c r="CQ10" s="88">
        <v>-0.80080463772439603</v>
      </c>
      <c r="CR10" s="88">
        <v>0.66857730146083649</v>
      </c>
      <c r="CS10" s="88">
        <v>0.51139269167242885</v>
      </c>
      <c r="CT10" s="88">
        <v>-0.81650434102345237</v>
      </c>
      <c r="CU10" s="88">
        <v>0.1413205863965899</v>
      </c>
      <c r="CV10" s="88">
        <v>0.57240583873876127</v>
      </c>
      <c r="CW10" s="88">
        <v>-5.9438733820085604E-2</v>
      </c>
      <c r="CX10" s="88">
        <v>0.35118302189783718</v>
      </c>
      <c r="CY10" s="88">
        <v>0.96129943295894249</v>
      </c>
      <c r="CZ10" s="88">
        <v>0.32543280767015487</v>
      </c>
      <c r="DA10" s="88">
        <v>0.9733507860617524</v>
      </c>
      <c r="DB10" s="88">
        <v>0.71467099922324506</v>
      </c>
      <c r="DC10" s="88">
        <v>-1.2655428741953436</v>
      </c>
      <c r="DD10" s="88">
        <v>-0.98281663776173067</v>
      </c>
      <c r="DE10" s="88">
        <v>3.4323273787739764E-2</v>
      </c>
      <c r="DF10" s="88">
        <v>-0.36942209255291064</v>
      </c>
      <c r="DG10" s="88">
        <v>0.18564434323680915</v>
      </c>
      <c r="DH10" s="88">
        <v>-0.41271524315833735</v>
      </c>
      <c r="DI10" s="88">
        <v>-1.1621931783832096</v>
      </c>
      <c r="DJ10" s="88">
        <v>-4.3537834244481544E-2</v>
      </c>
      <c r="DK10" s="88">
        <v>0.73661783862285268</v>
      </c>
      <c r="DL10" s="88">
        <v>6.6152238852191209E-2</v>
      </c>
      <c r="DM10" s="88">
        <v>-7.4274133709600787E-2</v>
      </c>
      <c r="DN10" s="88">
        <v>0.14371313794395948</v>
      </c>
      <c r="DO10" s="88">
        <v>7.6824415883995412E-2</v>
      </c>
      <c r="DP10" s="88">
        <v>0.57471837582210183</v>
      </c>
      <c r="DQ10" s="88">
        <v>0.25761420113434036</v>
      </c>
      <c r="DR10" s="88">
        <v>0.28996879376261386</v>
      </c>
      <c r="DS10" s="89">
        <v>0.32710045071112837</v>
      </c>
      <c r="DT10" s="89">
        <v>-0.36777249718627492</v>
      </c>
      <c r="DU10" s="89">
        <v>-0.34776186388478098</v>
      </c>
      <c r="DV10" s="89">
        <v>0.3015297705672178</v>
      </c>
      <c r="DW10" s="89">
        <v>-7.3880984307853378E-2</v>
      </c>
      <c r="DX10" s="89">
        <v>0.98907034562453866</v>
      </c>
      <c r="DY10" s="89">
        <v>-0.10922597018504676</v>
      </c>
      <c r="DZ10" s="89">
        <v>0.15355844210098482</v>
      </c>
      <c r="EA10" s="89">
        <v>0.72703906925681439</v>
      </c>
      <c r="EB10" s="89">
        <v>0.75277591798380661</v>
      </c>
      <c r="EC10" s="89">
        <v>0.90310981806368928</v>
      </c>
      <c r="ED10" s="89">
        <v>1.0171888052438278</v>
      </c>
      <c r="EE10" s="89">
        <v>0.42185973022118306</v>
      </c>
      <c r="EF10" s="89">
        <v>0.68548840921576593</v>
      </c>
      <c r="EG10" s="89">
        <v>-0.59209047148707106</v>
      </c>
      <c r="EH10" s="89">
        <v>-0.60501844122430204</v>
      </c>
      <c r="EI10" s="89">
        <v>-0.49906295032702386</v>
      </c>
      <c r="EJ10" s="89">
        <v>-0.49606266527897236</v>
      </c>
      <c r="EK10" s="89">
        <v>1.053168095439585</v>
      </c>
      <c r="EL10" s="89">
        <v>-0.77596291179284216</v>
      </c>
      <c r="EM10" s="89">
        <v>9.7749452467801312E-2</v>
      </c>
      <c r="EN10" s="89">
        <v>2.3712221390580174E-2</v>
      </c>
      <c r="EO10" s="89">
        <v>1.0776684424933602</v>
      </c>
      <c r="EP10" s="89">
        <v>0.66699932856044819</v>
      </c>
      <c r="EQ10" s="89">
        <v>2.2631352351349086E-2</v>
      </c>
      <c r="ER10" s="89">
        <v>-0.28752650646274347</v>
      </c>
    </row>
    <row r="11" spans="1:148" x14ac:dyDescent="0.25">
      <c r="A11" s="87">
        <v>490</v>
      </c>
      <c r="B11" s="87">
        <v>0.17094962338708472</v>
      </c>
      <c r="C11" s="87">
        <v>1.6047111813631274</v>
      </c>
      <c r="D11" s="87">
        <v>0.97076690499864604</v>
      </c>
      <c r="E11" s="87">
        <v>-1.0047208463459929</v>
      </c>
      <c r="F11" s="87">
        <v>-0.62902372049371968</v>
      </c>
      <c r="G11" s="87">
        <v>-0.77588725226002053</v>
      </c>
      <c r="H11" s="87">
        <v>1.1660221435158022</v>
      </c>
      <c r="I11" s="87">
        <v>0.4395416886779821</v>
      </c>
      <c r="J11" s="87">
        <v>0.11114573549821263</v>
      </c>
      <c r="K11" s="87">
        <v>-1.0121282969790266</v>
      </c>
      <c r="L11" s="87">
        <v>-0.62300077929552666</v>
      </c>
      <c r="M11" s="87">
        <v>-0.87131804099416299</v>
      </c>
      <c r="N11" s="87">
        <v>490</v>
      </c>
      <c r="O11" s="87">
        <v>0.92593041700000001</v>
      </c>
      <c r="P11" s="87">
        <v>-1.003683992</v>
      </c>
      <c r="Q11" s="87">
        <v>-0.15748956</v>
      </c>
      <c r="R11" s="87">
        <v>2.6961818900000001</v>
      </c>
      <c r="S11" s="87">
        <v>8.4932611000000005E-2</v>
      </c>
      <c r="T11" s="87">
        <v>1.1397796870000001</v>
      </c>
      <c r="U11" s="87">
        <v>0.55078254800000004</v>
      </c>
      <c r="V11" s="87">
        <v>-0.145836462</v>
      </c>
      <c r="W11" s="87">
        <v>-0.152764394</v>
      </c>
      <c r="X11" s="87">
        <v>-0.18153354399999999</v>
      </c>
      <c r="Y11" s="87">
        <v>0.45829701900000003</v>
      </c>
      <c r="Z11" s="88">
        <v>-0.24165983899999999</v>
      </c>
      <c r="AA11" s="88">
        <v>6.5506857000000002E-2</v>
      </c>
      <c r="AB11" s="88">
        <v>0.241595479</v>
      </c>
      <c r="AC11" s="88">
        <v>0.13116924499999999</v>
      </c>
      <c r="AD11" s="88">
        <v>2.8883148000000001E-2</v>
      </c>
      <c r="AE11" s="88">
        <v>9.8122090000000006E-3</v>
      </c>
      <c r="AF11" s="89">
        <v>-0.25002550400000001</v>
      </c>
      <c r="AG11" s="89">
        <v>-0.16376533300000001</v>
      </c>
      <c r="AH11" s="89">
        <v>-0.56810269199999996</v>
      </c>
      <c r="AI11" s="89">
        <v>0.30161633199999999</v>
      </c>
      <c r="AJ11" s="89">
        <v>0.43803743299999998</v>
      </c>
      <c r="AK11" s="89">
        <v>-4.6382615000000002E-2</v>
      </c>
      <c r="AL11" s="89">
        <v>-9.7375259000000006E-2</v>
      </c>
      <c r="AM11" s="89">
        <v>-2.5119596000000001E-2</v>
      </c>
      <c r="AN11" s="89">
        <v>4.7717714000000001E-2</v>
      </c>
      <c r="AO11" s="90">
        <v>-2.1839487000000001E-2</v>
      </c>
      <c r="AP11" s="89">
        <v>1.0738164E-2</v>
      </c>
      <c r="AQ11" s="89">
        <v>-0.18687337800000001</v>
      </c>
      <c r="AR11" s="89">
        <v>-0.33581134000000001</v>
      </c>
      <c r="AS11" s="89">
        <v>-0.95115992299999996</v>
      </c>
      <c r="AT11" s="89">
        <v>-7.7467173E-2</v>
      </c>
      <c r="AU11" s="89">
        <v>-2.1763496199999999</v>
      </c>
      <c r="AV11" s="89">
        <v>0.981507346</v>
      </c>
      <c r="AW11" s="89">
        <v>-1.226353086</v>
      </c>
      <c r="AX11" s="89">
        <v>0.69709619499999997</v>
      </c>
      <c r="AY11" s="89">
        <v>-1.113932173</v>
      </c>
      <c r="AZ11" s="89">
        <v>0.76260763200000004</v>
      </c>
      <c r="BA11" s="89">
        <v>0.247025733</v>
      </c>
      <c r="BB11" s="89">
        <v>0.13840260900000001</v>
      </c>
      <c r="BC11" s="89">
        <v>1.2361373069999999</v>
      </c>
      <c r="BD11" s="89">
        <v>1.3907008940000001</v>
      </c>
      <c r="BE11" s="89">
        <v>1.730762637</v>
      </c>
      <c r="BF11" s="89">
        <v>1.147396058</v>
      </c>
      <c r="BG11" s="89">
        <v>1.258757879</v>
      </c>
      <c r="BH11" s="89">
        <v>1.1959048999999999</v>
      </c>
      <c r="BI11" s="89">
        <v>3.3155258820000002</v>
      </c>
      <c r="BJ11" s="89">
        <v>-0.55257398199999996</v>
      </c>
      <c r="BK11" s="89">
        <v>-0.57239111799999998</v>
      </c>
      <c r="BL11" s="89">
        <v>2.7384207319999998</v>
      </c>
      <c r="BM11" s="89">
        <v>2.7125671869999999</v>
      </c>
      <c r="BN11" s="89">
        <v>2.3402261709999999</v>
      </c>
      <c r="BO11" s="89">
        <v>-0.121473304</v>
      </c>
      <c r="BP11" s="89">
        <v>2.065448328</v>
      </c>
      <c r="BQ11" s="89">
        <v>3.3149922840000001</v>
      </c>
      <c r="BR11" s="89">
        <v>0.15561645800000001</v>
      </c>
      <c r="BS11" s="89">
        <v>7.1027182999999994E-2</v>
      </c>
      <c r="BT11" s="89">
        <v>1.6416856259999999</v>
      </c>
      <c r="BU11" s="89">
        <v>3.2917270329999999</v>
      </c>
      <c r="BV11" s="89">
        <v>2.373545408</v>
      </c>
      <c r="BW11" s="88">
        <v>-0.14796790600000001</v>
      </c>
      <c r="BX11" s="88">
        <v>-0.10263216</v>
      </c>
      <c r="BY11" s="88">
        <v>1.4804396360000001</v>
      </c>
      <c r="BZ11" s="88">
        <v>1.224353322</v>
      </c>
      <c r="CA11" s="88">
        <v>3.0632682789999999</v>
      </c>
      <c r="CB11" s="88">
        <v>2.7147170919999999</v>
      </c>
      <c r="CC11" s="88">
        <v>-0.30824185300000001</v>
      </c>
      <c r="CD11" s="88">
        <v>0.66405699699999998</v>
      </c>
      <c r="CE11" s="88">
        <v>0.86318971438884551</v>
      </c>
      <c r="CF11" s="88">
        <v>0.47007056683439519</v>
      </c>
      <c r="CG11" s="88">
        <v>-0.15869955022113191</v>
      </c>
      <c r="CH11" s="88">
        <v>0.73753742342128947</v>
      </c>
      <c r="CI11" s="88">
        <v>-0.44622455408234163</v>
      </c>
      <c r="CJ11" s="88">
        <v>1.0018905374990086</v>
      </c>
      <c r="CK11" s="88">
        <v>0.19993566411054448</v>
      </c>
      <c r="CL11" s="88">
        <v>0.19642540899400537</v>
      </c>
      <c r="CM11" s="88">
        <v>0.35528518696443478</v>
      </c>
      <c r="CN11" s="88">
        <v>0.10882598237057391</v>
      </c>
      <c r="CO11" s="88">
        <v>2.5538074611569255</v>
      </c>
      <c r="CP11" s="88">
        <v>0.82884457411699719</v>
      </c>
      <c r="CQ11" s="88">
        <v>-0.43943014449495188</v>
      </c>
      <c r="CR11" s="88">
        <v>0.95235586428677577</v>
      </c>
      <c r="CS11" s="88">
        <v>0.77740329267170105</v>
      </c>
      <c r="CT11" s="88">
        <v>-0.79126792117770539</v>
      </c>
      <c r="CU11" s="88">
        <v>0.33842057750140608</v>
      </c>
      <c r="CV11" s="88">
        <v>0.59180617859478613</v>
      </c>
      <c r="CW11" s="88">
        <v>-0.10726192820333617</v>
      </c>
      <c r="CX11" s="88">
        <v>0.26916128180569698</v>
      </c>
      <c r="CY11" s="88">
        <v>0.88526699911301654</v>
      </c>
      <c r="CZ11" s="88">
        <v>1.7960046058922898E-2</v>
      </c>
      <c r="DA11" s="88">
        <v>0.7421071894507304</v>
      </c>
      <c r="DB11" s="88">
        <v>0.71840367814822592</v>
      </c>
      <c r="DC11" s="88">
        <v>-0.49650606614604115</v>
      </c>
      <c r="DD11" s="88">
        <v>-0.72276511473451877</v>
      </c>
      <c r="DE11" s="88">
        <v>0.40509301683852561</v>
      </c>
      <c r="DF11" s="88">
        <v>-0.45538959779729998</v>
      </c>
      <c r="DG11" s="88">
        <v>-0.29207151293685923</v>
      </c>
      <c r="DH11" s="88">
        <v>0.11305354314377024</v>
      </c>
      <c r="DI11" s="88">
        <v>-1.253804644940159</v>
      </c>
      <c r="DJ11" s="88">
        <v>-0.49626552011683989</v>
      </c>
      <c r="DK11" s="88">
        <v>0.44042244037271888</v>
      </c>
      <c r="DL11" s="88">
        <v>0.2700639924366951</v>
      </c>
      <c r="DM11" s="88">
        <v>0.63002654208628706</v>
      </c>
      <c r="DN11" s="88">
        <v>-0.2347441079077722</v>
      </c>
      <c r="DO11" s="88">
        <v>0.18405607366761614</v>
      </c>
      <c r="DP11" s="88">
        <v>0.45256808392445247</v>
      </c>
      <c r="DQ11" s="88">
        <v>0.47116506570283151</v>
      </c>
      <c r="DR11" s="88">
        <v>0.25301550751216101</v>
      </c>
      <c r="DS11" s="89">
        <v>0.69112490192430265</v>
      </c>
      <c r="DT11" s="89">
        <v>-1.1489545346965107</v>
      </c>
      <c r="DU11" s="89">
        <v>-0.30558528136872964</v>
      </c>
      <c r="DV11" s="89">
        <v>0.21583920193091499</v>
      </c>
      <c r="DW11" s="89">
        <v>-0.23049317468856326</v>
      </c>
      <c r="DX11" s="89">
        <v>2.2002420008056767</v>
      </c>
      <c r="DY11" s="89">
        <v>-3.0576991529348223E-2</v>
      </c>
      <c r="DZ11" s="89">
        <v>0.90562414627434829</v>
      </c>
      <c r="EA11" s="89">
        <v>0.90378061416436983</v>
      </c>
      <c r="EB11" s="89">
        <v>0.91946415718005303</v>
      </c>
      <c r="EC11" s="89">
        <v>1.1811533851513729</v>
      </c>
      <c r="ED11" s="89">
        <v>0.95019699531841406</v>
      </c>
      <c r="EE11" s="89">
        <v>0.65298753954592292</v>
      </c>
      <c r="EF11" s="89">
        <v>0.95302193738648311</v>
      </c>
      <c r="EG11" s="89">
        <v>-0.35510765846658399</v>
      </c>
      <c r="EH11" s="89">
        <v>-0.36754023858128493</v>
      </c>
      <c r="EI11" s="89">
        <v>-0.16686277507826539</v>
      </c>
      <c r="EJ11" s="89">
        <v>-9.0112476398362354E-2</v>
      </c>
      <c r="EK11" s="89">
        <v>0.97323242329062887</v>
      </c>
      <c r="EL11" s="89">
        <v>-0.78820716230617704</v>
      </c>
      <c r="EM11" s="89">
        <v>-8.6417084732405107E-3</v>
      </c>
      <c r="EN11" s="89">
        <v>6.576136076679473E-2</v>
      </c>
      <c r="EO11" s="89">
        <v>0.91555865197053221</v>
      </c>
      <c r="EP11" s="89">
        <v>0.8038484233379003</v>
      </c>
      <c r="EQ11" s="89">
        <v>0.24755973398855013</v>
      </c>
      <c r="ER11" s="89">
        <v>0.3751846356802061</v>
      </c>
    </row>
    <row r="12" spans="1:148" x14ac:dyDescent="0.25">
      <c r="A12" s="87">
        <v>500</v>
      </c>
      <c r="B12" s="87">
        <v>0.66252248102802391</v>
      </c>
      <c r="C12" s="87">
        <v>1.2600503502620399</v>
      </c>
      <c r="D12" s="87">
        <v>0.79146422544414563</v>
      </c>
      <c r="E12" s="87">
        <v>-1.2555603591036184</v>
      </c>
      <c r="F12" s="87">
        <v>-0.22168186944106061</v>
      </c>
      <c r="G12" s="87">
        <v>-0.26660856580985581</v>
      </c>
      <c r="H12" s="87">
        <v>1.3088639034872456</v>
      </c>
      <c r="I12" s="87">
        <v>0.23717843596980226</v>
      </c>
      <c r="J12" s="87">
        <v>0.28585427608558284</v>
      </c>
      <c r="K12" s="87">
        <v>-0.80897792658447032</v>
      </c>
      <c r="L12" s="87">
        <v>-0.29074889956141892</v>
      </c>
      <c r="M12" s="87">
        <v>-0.19740525435803372</v>
      </c>
      <c r="N12" s="87">
        <v>500</v>
      </c>
      <c r="O12" s="87">
        <v>0.90677335599999997</v>
      </c>
      <c r="P12" s="87">
        <v>-1.239117059</v>
      </c>
      <c r="Q12" s="87">
        <v>-0.14802636399999999</v>
      </c>
      <c r="R12" s="87">
        <v>1.2933524590000001</v>
      </c>
      <c r="S12" s="87">
        <v>-5.4290268000000003E-2</v>
      </c>
      <c r="T12" s="87">
        <v>0.47867891400000001</v>
      </c>
      <c r="U12" s="87">
        <v>0.30981421100000001</v>
      </c>
      <c r="V12" s="87">
        <v>-0.18253209300000001</v>
      </c>
      <c r="W12" s="87">
        <v>-0.10939763</v>
      </c>
      <c r="X12" s="87">
        <v>-0.19273015600000001</v>
      </c>
      <c r="Y12" s="87">
        <v>1.9258879999999999E-2</v>
      </c>
      <c r="Z12" s="88">
        <v>-0.145059364</v>
      </c>
      <c r="AA12" s="88">
        <v>0.59687905600000002</v>
      </c>
      <c r="AB12" s="88">
        <v>0.56766572500000001</v>
      </c>
      <c r="AC12" s="88">
        <v>0.64498754700000005</v>
      </c>
      <c r="AD12" s="88">
        <v>0.512637326</v>
      </c>
      <c r="AE12" s="88">
        <v>0.50898817200000002</v>
      </c>
      <c r="AF12" s="89">
        <v>-8.8089580000000001E-2</v>
      </c>
      <c r="AG12" s="89">
        <v>-9.7457849999999999E-2</v>
      </c>
      <c r="AH12" s="89">
        <v>-0.545400247</v>
      </c>
      <c r="AI12" s="89">
        <v>0.80786663299999995</v>
      </c>
      <c r="AJ12" s="89">
        <v>0.859494117</v>
      </c>
      <c r="AK12" s="89">
        <v>0.210895321</v>
      </c>
      <c r="AL12" s="89">
        <v>6.4317246999999994E-2</v>
      </c>
      <c r="AM12" s="89">
        <v>0.27823938999999998</v>
      </c>
      <c r="AN12" s="89">
        <v>0.33253218600000001</v>
      </c>
      <c r="AO12" s="90">
        <v>0.25371570500000001</v>
      </c>
      <c r="AP12" s="89">
        <v>-3.7018613999999998E-2</v>
      </c>
      <c r="AQ12" s="89">
        <v>-0.18456145600000001</v>
      </c>
      <c r="AR12" s="89">
        <v>-0.46541861400000001</v>
      </c>
      <c r="AS12" s="89">
        <v>-0.66845075899999995</v>
      </c>
      <c r="AT12" s="89">
        <v>-0.114749661</v>
      </c>
      <c r="AU12" s="89">
        <v>-1.9935761789999999</v>
      </c>
      <c r="AV12" s="89">
        <v>3.1203929719999999</v>
      </c>
      <c r="AW12" s="89">
        <v>-0.21639704700000001</v>
      </c>
      <c r="AX12" s="89">
        <v>-0.419698248</v>
      </c>
      <c r="AY12" s="89">
        <v>-1.2790691359999999</v>
      </c>
      <c r="AZ12" s="89">
        <v>1.3391067750000001</v>
      </c>
      <c r="BA12" s="89">
        <v>0.43079262299999999</v>
      </c>
      <c r="BB12" s="89">
        <v>0.36850549900000001</v>
      </c>
      <c r="BC12" s="89">
        <v>0.93127453400000004</v>
      </c>
      <c r="BD12" s="89">
        <v>1.076953778</v>
      </c>
      <c r="BE12" s="89">
        <v>0.91851164100000005</v>
      </c>
      <c r="BF12" s="89">
        <v>0.57316629799999996</v>
      </c>
      <c r="BG12" s="89">
        <v>1.458610118</v>
      </c>
      <c r="BH12" s="89">
        <v>1.402117246</v>
      </c>
      <c r="BI12" s="89">
        <v>2.0812803780000002</v>
      </c>
      <c r="BJ12" s="89">
        <v>-0.40412363099999998</v>
      </c>
      <c r="BK12" s="89">
        <v>-0.42312301899999999</v>
      </c>
      <c r="BL12" s="89">
        <v>2.893875848</v>
      </c>
      <c r="BM12" s="89">
        <v>3.0051381469999998</v>
      </c>
      <c r="BN12" s="89">
        <v>2.8734705229999999</v>
      </c>
      <c r="BO12" s="89">
        <v>-0.142957481</v>
      </c>
      <c r="BP12" s="89">
        <v>2.3785435129999999</v>
      </c>
      <c r="BQ12" s="89">
        <v>1.989400582</v>
      </c>
      <c r="BR12" s="89">
        <v>3.5971966000000001E-2</v>
      </c>
      <c r="BS12" s="89">
        <v>-8.9391044000000003E-2</v>
      </c>
      <c r="BT12" s="89">
        <v>0.48226960400000002</v>
      </c>
      <c r="BU12" s="89">
        <v>2.1673153169999999</v>
      </c>
      <c r="BV12" s="89">
        <v>0.427750876</v>
      </c>
      <c r="BW12" s="88">
        <v>-0.17391960100000001</v>
      </c>
      <c r="BX12" s="88">
        <v>-0.163464147</v>
      </c>
      <c r="BY12" s="88">
        <v>1.9570387069999999</v>
      </c>
      <c r="BZ12" s="88">
        <v>0.21172927499999999</v>
      </c>
      <c r="CA12" s="88">
        <v>0.90369080300000004</v>
      </c>
      <c r="CB12" s="88">
        <v>0.59855124500000001</v>
      </c>
      <c r="CC12" s="88">
        <v>0.21645472299999999</v>
      </c>
      <c r="CD12" s="88">
        <v>3.3865438609999998</v>
      </c>
      <c r="CE12" s="88">
        <v>0.58867039350423234</v>
      </c>
      <c r="CF12" s="88">
        <v>0.45416894509541406</v>
      </c>
      <c r="CG12" s="88">
        <v>-0.25796658485320711</v>
      </c>
      <c r="CH12" s="88">
        <v>1.1298155352307531</v>
      </c>
      <c r="CI12" s="88">
        <v>-0.26327751161923607</v>
      </c>
      <c r="CJ12" s="88">
        <v>0.81188331246561329</v>
      </c>
      <c r="CK12" s="88">
        <v>0.76330364388002725</v>
      </c>
      <c r="CL12" s="88">
        <v>0.39206030260561953</v>
      </c>
      <c r="CM12" s="88">
        <v>0.15985410963046737</v>
      </c>
      <c r="CN12" s="88">
        <v>-0.61625996529365534</v>
      </c>
      <c r="CO12" s="88">
        <v>2.2266683514104084</v>
      </c>
      <c r="CP12" s="88">
        <v>0.68473082780302763</v>
      </c>
      <c r="CQ12" s="88">
        <v>-4.8975619277669954E-2</v>
      </c>
      <c r="CR12" s="88">
        <v>0.88124905107078688</v>
      </c>
      <c r="CS12" s="88">
        <v>0.77776450272733777</v>
      </c>
      <c r="CT12" s="88">
        <v>-0.78372595947377821</v>
      </c>
      <c r="CU12" s="88">
        <v>0.60943733972638303</v>
      </c>
      <c r="CV12" s="88">
        <v>0.80909820368149565</v>
      </c>
      <c r="CW12" s="88">
        <v>-2.6142032341954339E-2</v>
      </c>
      <c r="CX12" s="88">
        <v>0.44777726824536945</v>
      </c>
      <c r="CY12" s="88">
        <v>0.701412155887426</v>
      </c>
      <c r="CZ12" s="88">
        <v>-0.20079438030702629</v>
      </c>
      <c r="DA12" s="88">
        <v>0.58202639217714014</v>
      </c>
      <c r="DB12" s="88">
        <v>0.83502306219957456</v>
      </c>
      <c r="DC12" s="88">
        <v>-0.7018920688162168</v>
      </c>
      <c r="DD12" s="88">
        <v>-0.65657757002921413</v>
      </c>
      <c r="DE12" s="88">
        <v>0.49462890458497277</v>
      </c>
      <c r="DF12" s="88">
        <v>-0.11768949346410346</v>
      </c>
      <c r="DG12" s="88">
        <v>0.10658056910590731</v>
      </c>
      <c r="DH12" s="88">
        <v>0.89568790960509059</v>
      </c>
      <c r="DI12" s="88">
        <v>-1.4035065025367175</v>
      </c>
      <c r="DJ12" s="88">
        <v>-0.36187977767283847</v>
      </c>
      <c r="DK12" s="88">
        <v>0.34762372740773545</v>
      </c>
      <c r="DL12" s="88">
        <v>0.42340158444338483</v>
      </c>
      <c r="DM12" s="88">
        <v>1.1364352012961283</v>
      </c>
      <c r="DN12" s="88">
        <v>-0.41198421723146161</v>
      </c>
      <c r="DO12" s="88">
        <v>0.23938977903317787</v>
      </c>
      <c r="DP12" s="88">
        <v>0.28919658512887525</v>
      </c>
      <c r="DQ12" s="88">
        <v>0.39311251926458679</v>
      </c>
      <c r="DR12" s="88">
        <v>-0.15200258469151087</v>
      </c>
      <c r="DS12" s="89">
        <v>0.97393549066953733</v>
      </c>
      <c r="DT12" s="89">
        <v>-1.2565510676052465</v>
      </c>
      <c r="DU12" s="89">
        <v>0.29431545821139121</v>
      </c>
      <c r="DV12" s="89">
        <v>3.5900907294042245E-2</v>
      </c>
      <c r="DW12" s="89">
        <v>-0.29685107101673996</v>
      </c>
      <c r="DX12" s="89">
        <v>2.8747377631213271</v>
      </c>
      <c r="DY12" s="89">
        <v>8.0077044021039434E-2</v>
      </c>
      <c r="DZ12" s="89">
        <v>1.2594378752319217</v>
      </c>
      <c r="EA12" s="89">
        <v>0.56624650960787815</v>
      </c>
      <c r="EB12" s="89">
        <v>0.58609434616707257</v>
      </c>
      <c r="EC12" s="89">
        <v>0.6659236199929921</v>
      </c>
      <c r="ED12" s="89">
        <v>0.69268384933334659</v>
      </c>
      <c r="EE12" s="89">
        <v>0.15185330781018774</v>
      </c>
      <c r="EF12" s="89">
        <v>1.2363628053738822</v>
      </c>
      <c r="EG12" s="89">
        <v>-5.7069838910662189E-2</v>
      </c>
      <c r="EH12" s="89">
        <v>-3.5576481585594358E-2</v>
      </c>
      <c r="EI12" s="89">
        <v>0.22205903362404197</v>
      </c>
      <c r="EJ12" s="89">
        <v>0.42204595064383826</v>
      </c>
      <c r="EK12" s="89">
        <v>0.79562660080048808</v>
      </c>
      <c r="EL12" s="89">
        <v>-0.78710515599598974</v>
      </c>
      <c r="EM12" s="89">
        <v>-4.7526009837946991E-2</v>
      </c>
      <c r="EN12" s="89">
        <v>6.9962479470907515E-2</v>
      </c>
      <c r="EO12" s="89">
        <v>0.87296473294556076</v>
      </c>
      <c r="EP12" s="89">
        <v>1.0329531126800375</v>
      </c>
      <c r="EQ12" s="89">
        <v>0.20454691149986123</v>
      </c>
      <c r="ER12" s="89">
        <v>0.94222272429041332</v>
      </c>
    </row>
    <row r="13" spans="1:148" x14ac:dyDescent="0.25">
      <c r="A13" s="87">
        <v>510</v>
      </c>
      <c r="B13" s="87">
        <v>1.3114693830216377</v>
      </c>
      <c r="C13" s="87">
        <v>0.10217017257603392</v>
      </c>
      <c r="D13" s="87">
        <v>-0.14381731925905872</v>
      </c>
      <c r="E13" s="87">
        <v>-1.0047208463459929</v>
      </c>
      <c r="F13" s="87">
        <v>0.65972161861253797</v>
      </c>
      <c r="G13" s="87">
        <v>-0.53337359204565638</v>
      </c>
      <c r="H13" s="87">
        <v>1.4073089002243215</v>
      </c>
      <c r="I13" s="87">
        <v>6.2727356048957517E-2</v>
      </c>
      <c r="J13" s="87">
        <v>0.32344978481957382</v>
      </c>
      <c r="K13" s="87">
        <v>-0.50305736881384433</v>
      </c>
      <c r="L13" s="87">
        <v>-8.2207826111287463E-2</v>
      </c>
      <c r="M13" s="87">
        <v>0.66129007054929234</v>
      </c>
      <c r="N13" s="87">
        <v>510</v>
      </c>
      <c r="O13" s="87">
        <v>0.55904108299999999</v>
      </c>
      <c r="P13" s="87">
        <v>-1.3549312570000001</v>
      </c>
      <c r="Q13" s="87">
        <v>-0.149120802</v>
      </c>
      <c r="R13" s="87">
        <v>0.33519927300000002</v>
      </c>
      <c r="S13" s="87">
        <v>-7.9873830000000007E-2</v>
      </c>
      <c r="T13" s="87">
        <v>0.201260996</v>
      </c>
      <c r="U13" s="87">
        <v>0.133425514</v>
      </c>
      <c r="V13" s="87">
        <v>-0.250717931</v>
      </c>
      <c r="W13" s="87">
        <v>-0.12767626000000001</v>
      </c>
      <c r="X13" s="87">
        <v>-0.19936189300000001</v>
      </c>
      <c r="Y13" s="87">
        <v>-2.2944742000000001E-2</v>
      </c>
      <c r="Z13" s="88">
        <v>-3.8581484999999999E-2</v>
      </c>
      <c r="AA13" s="88">
        <v>1.120813372</v>
      </c>
      <c r="AB13" s="88">
        <v>0.71880569299999997</v>
      </c>
      <c r="AC13" s="88">
        <v>1.274628399</v>
      </c>
      <c r="AD13" s="88">
        <v>1.05115494</v>
      </c>
      <c r="AE13" s="88">
        <v>0.98102890300000001</v>
      </c>
      <c r="AF13" s="89">
        <v>6.3108549999999999E-2</v>
      </c>
      <c r="AG13" s="89">
        <v>2.0424243000000002E-2</v>
      </c>
      <c r="AH13" s="89">
        <v>-0.46708743699999999</v>
      </c>
      <c r="AI13" s="89">
        <v>0.908462832</v>
      </c>
      <c r="AJ13" s="89">
        <v>0.94951573499999997</v>
      </c>
      <c r="AK13" s="89">
        <v>0.34754347400000002</v>
      </c>
      <c r="AL13" s="89">
        <v>0.115447911</v>
      </c>
      <c r="AM13" s="89">
        <v>0.45336482900000002</v>
      </c>
      <c r="AN13" s="89">
        <v>0.45101129299999998</v>
      </c>
      <c r="AO13" s="90">
        <v>0.51456433800000001</v>
      </c>
      <c r="AP13" s="89">
        <v>-7.2341506E-2</v>
      </c>
      <c r="AQ13" s="89">
        <v>-5.5136005000000002E-2</v>
      </c>
      <c r="AR13" s="89">
        <v>-0.52507462800000004</v>
      </c>
      <c r="AS13" s="89">
        <v>-0.88819907600000003</v>
      </c>
      <c r="AT13" s="89">
        <v>-0.16104120299999999</v>
      </c>
      <c r="AU13" s="89">
        <v>-0.57418412900000004</v>
      </c>
      <c r="AV13" s="89">
        <v>2.3714156050000001</v>
      </c>
      <c r="AW13" s="89">
        <v>1.3994455379999999</v>
      </c>
      <c r="AX13" s="89">
        <v>1.076589201</v>
      </c>
      <c r="AY13" s="89">
        <v>-1.4795700759999999</v>
      </c>
      <c r="AZ13" s="89">
        <v>1.185417196</v>
      </c>
      <c r="BA13" s="89">
        <v>0.49720325799999998</v>
      </c>
      <c r="BB13" s="89">
        <v>0.53403173199999998</v>
      </c>
      <c r="BC13" s="89">
        <v>0.617580295</v>
      </c>
      <c r="BD13" s="89">
        <v>0.52370504799999995</v>
      </c>
      <c r="BE13" s="89">
        <v>0.46279823599999997</v>
      </c>
      <c r="BF13" s="89">
        <v>6.7220746999999997E-2</v>
      </c>
      <c r="BG13" s="89">
        <v>0.45280203899999999</v>
      </c>
      <c r="BH13" s="89">
        <v>1.0150168770000001</v>
      </c>
      <c r="BI13" s="89">
        <v>0.66186204999999998</v>
      </c>
      <c r="BJ13" s="89">
        <v>-0.114956685</v>
      </c>
      <c r="BK13" s="89">
        <v>-0.120885573</v>
      </c>
      <c r="BL13" s="89">
        <v>1.409441991</v>
      </c>
      <c r="BM13" s="89">
        <v>1.3702458689999999</v>
      </c>
      <c r="BN13" s="89">
        <v>1.8024635929999999</v>
      </c>
      <c r="BO13" s="89">
        <v>-0.153000253</v>
      </c>
      <c r="BP13" s="89">
        <v>1.9492693720000001</v>
      </c>
      <c r="BQ13" s="89">
        <v>0.56931305399999999</v>
      </c>
      <c r="BR13" s="89">
        <v>8.9646429999999996E-3</v>
      </c>
      <c r="BS13" s="89">
        <v>-0.126391324</v>
      </c>
      <c r="BT13" s="89">
        <v>0.12677490599999999</v>
      </c>
      <c r="BU13" s="89">
        <v>0.71526904099999999</v>
      </c>
      <c r="BV13" s="89">
        <v>6.3892965999999995E-2</v>
      </c>
      <c r="BW13" s="88">
        <v>-0.180367686</v>
      </c>
      <c r="BX13" s="88">
        <v>-0.187611313</v>
      </c>
      <c r="BY13" s="88">
        <v>1.983630794</v>
      </c>
      <c r="BZ13" s="88">
        <v>-8.7540280000000005E-3</v>
      </c>
      <c r="CA13" s="88">
        <v>0.16379159099999999</v>
      </c>
      <c r="CB13" s="88">
        <v>7.2906250000000006E-2</v>
      </c>
      <c r="CC13" s="88">
        <v>0.63373191600000001</v>
      </c>
      <c r="CD13" s="88">
        <v>2.6110055129999998</v>
      </c>
      <c r="CE13" s="88">
        <v>0.28063071107142323</v>
      </c>
      <c r="CF13" s="88">
        <v>0.36113576100772893</v>
      </c>
      <c r="CG13" s="88">
        <v>-0.26864167865584848</v>
      </c>
      <c r="CH13" s="88">
        <v>1.4082637401876545</v>
      </c>
      <c r="CI13" s="88">
        <v>-0.26551392858958545</v>
      </c>
      <c r="CJ13" s="88">
        <v>0.71909136943183682</v>
      </c>
      <c r="CK13" s="88">
        <v>1.1693002447802037</v>
      </c>
      <c r="CL13" s="88">
        <v>0.84702767655312394</v>
      </c>
      <c r="CM13" s="88">
        <v>0.62801711516852021</v>
      </c>
      <c r="CN13" s="88">
        <v>-0.97900881247833005</v>
      </c>
      <c r="CO13" s="88">
        <v>1.516817538775713</v>
      </c>
      <c r="CP13" s="88">
        <v>0.70743520482759337</v>
      </c>
      <c r="CQ13" s="88">
        <v>0.3763506457779523</v>
      </c>
      <c r="CR13" s="88">
        <v>0.96594378764676636</v>
      </c>
      <c r="CS13" s="88">
        <v>0.52394117374599347</v>
      </c>
      <c r="CT13" s="88">
        <v>-0.73309472236427564</v>
      </c>
      <c r="CU13" s="88">
        <v>0.72199781653181927</v>
      </c>
      <c r="CV13" s="88">
        <v>0.87844704669679541</v>
      </c>
      <c r="CW13" s="88">
        <v>1.2721804202852431E-2</v>
      </c>
      <c r="CX13" s="88">
        <v>0.54440407347098752</v>
      </c>
      <c r="CY13" s="88">
        <v>0.62258495564098637</v>
      </c>
      <c r="CZ13" s="88">
        <v>-0.28726078280012746</v>
      </c>
      <c r="DA13" s="88">
        <v>0.23790718961354193</v>
      </c>
      <c r="DB13" s="88">
        <v>0.90400010661656371</v>
      </c>
      <c r="DC13" s="88">
        <v>-0.62619057181777427</v>
      </c>
      <c r="DD13" s="88">
        <v>-0.57344235381819286</v>
      </c>
      <c r="DE13" s="88">
        <v>0.58070932716903811</v>
      </c>
      <c r="DF13" s="88">
        <v>0.67240261015776648</v>
      </c>
      <c r="DG13" s="88">
        <v>0.38993316565857922</v>
      </c>
      <c r="DH13" s="88">
        <v>1.1033841272040805</v>
      </c>
      <c r="DI13" s="88">
        <v>-1.2066542266839133</v>
      </c>
      <c r="DJ13" s="88">
        <v>-0.44703907335094506</v>
      </c>
      <c r="DK13" s="88">
        <v>0.48370408471682669</v>
      </c>
      <c r="DL13" s="88">
        <v>0.68315325326012599</v>
      </c>
      <c r="DM13" s="88">
        <v>1.4276200550594096</v>
      </c>
      <c r="DN13" s="88">
        <v>-0.47664132795769526</v>
      </c>
      <c r="DO13" s="88">
        <v>0.11367738697386442</v>
      </c>
      <c r="DP13" s="88">
        <v>0.29904671985189002</v>
      </c>
      <c r="DQ13" s="88">
        <v>0.62775900542552399</v>
      </c>
      <c r="DR13" s="88">
        <v>6.8961515468579898E-2</v>
      </c>
      <c r="DS13" s="89">
        <v>1.0134126048179841</v>
      </c>
      <c r="DT13" s="89">
        <v>-8.7540745557601427E-2</v>
      </c>
      <c r="DU13" s="89">
        <v>0.6054345966167477</v>
      </c>
      <c r="DV13" s="89">
        <v>-6.7405357684137759E-2</v>
      </c>
      <c r="DW13" s="89">
        <v>-0.34576999601317648</v>
      </c>
      <c r="DX13" s="89">
        <v>2.2565906325214984</v>
      </c>
      <c r="DY13" s="89">
        <v>0.55231562328959705</v>
      </c>
      <c r="DZ13" s="89">
        <v>1.2790607914927179</v>
      </c>
      <c r="EA13" s="89">
        <v>0.48397730605488548</v>
      </c>
      <c r="EB13" s="89">
        <v>0.58609434601707266</v>
      </c>
      <c r="EC13" s="89">
        <v>0.59693135657446073</v>
      </c>
      <c r="ED13" s="89">
        <v>1.0355655619928834</v>
      </c>
      <c r="EE13" s="89">
        <v>7.6720153727937015E-2</v>
      </c>
      <c r="EF13" s="89">
        <v>1.3634765891557863</v>
      </c>
      <c r="EG13" s="89">
        <v>0.28845233304773016</v>
      </c>
      <c r="EH13" s="89">
        <v>0.35404040260046554</v>
      </c>
      <c r="EI13" s="89">
        <v>0.62021946485990986</v>
      </c>
      <c r="EJ13" s="89">
        <v>0.87379525211119669</v>
      </c>
      <c r="EK13" s="89">
        <v>0.55925604859965095</v>
      </c>
      <c r="EL13" s="89">
        <v>-0.77299418694586441</v>
      </c>
      <c r="EM13" s="89">
        <v>-7.6567986981575575E-2</v>
      </c>
      <c r="EN13" s="89">
        <v>-1.2526171329432042E-2</v>
      </c>
      <c r="EO13" s="89">
        <v>0.81780392004736824</v>
      </c>
      <c r="EP13" s="89">
        <v>1.1303499867108642</v>
      </c>
      <c r="EQ13" s="89">
        <v>0.2149123098280846</v>
      </c>
      <c r="ER13" s="89">
        <v>1.3113160752795852</v>
      </c>
    </row>
    <row r="14" spans="1:148" x14ac:dyDescent="0.25">
      <c r="A14" s="87">
        <v>520</v>
      </c>
      <c r="B14" s="87">
        <v>1.3450660891194</v>
      </c>
      <c r="C14" s="87">
        <v>3.4589617458173655E-2</v>
      </c>
      <c r="D14" s="87">
        <v>-0.17289342945708577</v>
      </c>
      <c r="E14" s="87">
        <v>-1.0839333240589273</v>
      </c>
      <c r="F14" s="87">
        <v>0.30856485046369381</v>
      </c>
      <c r="G14" s="87">
        <v>-0.39271566912132516</v>
      </c>
      <c r="H14" s="87">
        <v>1.413099782385326</v>
      </c>
      <c r="I14" s="87">
        <v>-6.5203435892995334E-2</v>
      </c>
      <c r="J14" s="87">
        <v>0.25931626992041262</v>
      </c>
      <c r="K14" s="87">
        <v>-0.69664772177806866</v>
      </c>
      <c r="L14" s="87">
        <v>-0.22712619918680255</v>
      </c>
      <c r="M14" s="87">
        <v>0.71563787592317385</v>
      </c>
      <c r="N14" s="87">
        <v>520</v>
      </c>
      <c r="O14" s="87">
        <v>0.11241035200000001</v>
      </c>
      <c r="P14" s="87">
        <v>-1.4260216370000001</v>
      </c>
      <c r="Q14" s="87">
        <v>-0.160671695</v>
      </c>
      <c r="R14" s="87">
        <v>7.59869E-3</v>
      </c>
      <c r="S14" s="87">
        <v>-0.11350861199999999</v>
      </c>
      <c r="T14" s="87">
        <v>0.13417691900000001</v>
      </c>
      <c r="U14" s="87">
        <v>7.0415042999999997E-2</v>
      </c>
      <c r="V14" s="87">
        <v>-0.33544007300000001</v>
      </c>
      <c r="W14" s="87">
        <v>-0.24367011299999999</v>
      </c>
      <c r="X14" s="87">
        <v>-0.20223323200000001</v>
      </c>
      <c r="Y14" s="87">
        <v>-5.0940561000000002E-2</v>
      </c>
      <c r="Z14" s="88">
        <v>7.9080100000000005E-4</v>
      </c>
      <c r="AA14" s="88">
        <v>1.1859757609999999</v>
      </c>
      <c r="AB14" s="88">
        <v>0.566755067</v>
      </c>
      <c r="AC14" s="88">
        <v>1.495686208</v>
      </c>
      <c r="AD14" s="88">
        <v>1.1884954910000001</v>
      </c>
      <c r="AE14" s="88">
        <v>0.95180243099999995</v>
      </c>
      <c r="AF14" s="89">
        <v>0.169867823</v>
      </c>
      <c r="AG14" s="89">
        <v>-4.8352826000000002E-2</v>
      </c>
      <c r="AH14" s="89">
        <v>-0.68632894799999999</v>
      </c>
      <c r="AI14" s="89">
        <v>0.67960869800000001</v>
      </c>
      <c r="AJ14" s="89">
        <v>0.640245603</v>
      </c>
      <c r="AK14" s="89">
        <v>0.339076453</v>
      </c>
      <c r="AL14" s="89">
        <v>6.2864893000000005E-2</v>
      </c>
      <c r="AM14" s="89">
        <v>0.218197154</v>
      </c>
      <c r="AN14" s="89">
        <v>0.30421490499999998</v>
      </c>
      <c r="AO14" s="90">
        <v>0.33895283700000001</v>
      </c>
      <c r="AP14" s="89">
        <v>-9.9554227999999995E-2</v>
      </c>
      <c r="AQ14" s="89">
        <v>-0.10193289799999999</v>
      </c>
      <c r="AR14" s="89">
        <v>-0.70485136800000003</v>
      </c>
      <c r="AS14" s="89">
        <v>-1.620060018</v>
      </c>
      <c r="AT14" s="89">
        <v>-0.20681867100000001</v>
      </c>
      <c r="AU14" s="89">
        <v>1.4540856E-2</v>
      </c>
      <c r="AV14" s="89">
        <v>0.58319310499999999</v>
      </c>
      <c r="AW14" s="89">
        <v>3.0133369820000002</v>
      </c>
      <c r="AX14" s="89">
        <v>3.0097580920000002</v>
      </c>
      <c r="AY14" s="89">
        <v>-1.843321226</v>
      </c>
      <c r="AZ14" s="89">
        <v>0.68613935699999995</v>
      </c>
      <c r="BA14" s="89">
        <v>0.28254017100000001</v>
      </c>
      <c r="BB14" s="89">
        <v>0.41208223599999999</v>
      </c>
      <c r="BC14" s="89">
        <v>0.40108639299999999</v>
      </c>
      <c r="BD14" s="89">
        <v>0.128846718</v>
      </c>
      <c r="BE14" s="89">
        <v>0.12855097400000001</v>
      </c>
      <c r="BF14" s="89">
        <v>-0.15006341600000001</v>
      </c>
      <c r="BG14" s="89">
        <v>-4.0970820999999998E-2</v>
      </c>
      <c r="BH14" s="89">
        <v>0.65685859300000005</v>
      </c>
      <c r="BI14" s="89">
        <v>0.200379059</v>
      </c>
      <c r="BJ14" s="89">
        <v>-0.22398375300000001</v>
      </c>
      <c r="BK14" s="89">
        <v>-0.19836358400000001</v>
      </c>
      <c r="BL14" s="89">
        <v>0.41206434600000003</v>
      </c>
      <c r="BM14" s="89">
        <v>0.33977035900000002</v>
      </c>
      <c r="BN14" s="89">
        <v>0.59595742100000004</v>
      </c>
      <c r="BO14" s="89">
        <v>-0.143645099</v>
      </c>
      <c r="BP14" s="89">
        <v>1.2659988090000001</v>
      </c>
      <c r="BQ14" s="89">
        <v>8.4488774000000003E-2</v>
      </c>
      <c r="BR14" s="89">
        <v>2.832177E-3</v>
      </c>
      <c r="BS14" s="89">
        <v>-8.8184390000000001E-2</v>
      </c>
      <c r="BT14" s="89">
        <v>5.5213160000000001E-3</v>
      </c>
      <c r="BU14" s="89">
        <v>0.13942817399999999</v>
      </c>
      <c r="BV14" s="89">
        <v>3.9145356999999999E-2</v>
      </c>
      <c r="BW14" s="88">
        <v>-0.103902568</v>
      </c>
      <c r="BX14" s="88">
        <v>-0.14796611000000001</v>
      </c>
      <c r="BY14" s="88">
        <v>1.672804805</v>
      </c>
      <c r="BZ14" s="88">
        <v>5.232769E-3</v>
      </c>
      <c r="CA14" s="88">
        <v>-1.9125354000000001E-2</v>
      </c>
      <c r="CB14" s="88">
        <v>3.8848162999999998E-2</v>
      </c>
      <c r="CC14" s="88">
        <v>1.706218228</v>
      </c>
      <c r="CD14" s="88">
        <v>0.70503294400000005</v>
      </c>
      <c r="CE14" s="88">
        <v>-8.8583205152773431E-2</v>
      </c>
      <c r="CF14" s="88">
        <v>0.26408368691239303</v>
      </c>
      <c r="CG14" s="88">
        <v>-0.34118445202319203</v>
      </c>
      <c r="CH14" s="88">
        <v>1.5849684972577764</v>
      </c>
      <c r="CI14" s="88">
        <v>-0.30939814197457038</v>
      </c>
      <c r="CJ14" s="88">
        <v>-3.001750861497017E-2</v>
      </c>
      <c r="CK14" s="88">
        <v>0.79326994343729129</v>
      </c>
      <c r="CL14" s="88">
        <v>0.91803217359212008</v>
      </c>
      <c r="CM14" s="88">
        <v>0.78225565854892443</v>
      </c>
      <c r="CN14" s="88">
        <v>-0.69416244189678267</v>
      </c>
      <c r="CO14" s="88">
        <v>0.71779719504771899</v>
      </c>
      <c r="CP14" s="88">
        <v>0.71133035918329934</v>
      </c>
      <c r="CQ14" s="88">
        <v>0.85805577824712098</v>
      </c>
      <c r="CR14" s="88">
        <v>0.99828408193036322</v>
      </c>
      <c r="CS14" s="88">
        <v>0.50682258445175743</v>
      </c>
      <c r="CT14" s="88">
        <v>-0.65365150459142984</v>
      </c>
      <c r="CU14" s="88">
        <v>0.72808990593677825</v>
      </c>
      <c r="CV14" s="88">
        <v>0.71709409963384396</v>
      </c>
      <c r="CW14" s="88">
        <v>-1.9174090076916398E-2</v>
      </c>
      <c r="CX14" s="88">
        <v>0.27291958129214938</v>
      </c>
      <c r="CY14" s="88">
        <v>0.38714083052320547</v>
      </c>
      <c r="CZ14" s="88">
        <v>-0.28255430123836706</v>
      </c>
      <c r="DA14" s="88">
        <v>-7.0697034947935861E-2</v>
      </c>
      <c r="DB14" s="88">
        <v>0.9247027603351563</v>
      </c>
      <c r="DC14" s="88">
        <v>-7.320553388894425E-3</v>
      </c>
      <c r="DD14" s="88">
        <v>-0.3708335313037931</v>
      </c>
      <c r="DE14" s="88">
        <v>0.73971689766157944</v>
      </c>
      <c r="DF14" s="88">
        <v>0.58362436510882576</v>
      </c>
      <c r="DG14" s="88">
        <v>0.12126151348732742</v>
      </c>
      <c r="DH14" s="88">
        <v>1.0020139832099948</v>
      </c>
      <c r="DI14" s="88">
        <v>-1.1002872437191424</v>
      </c>
      <c r="DJ14" s="88">
        <v>-1.010604076633707</v>
      </c>
      <c r="DK14" s="88">
        <v>0.45907499033958304</v>
      </c>
      <c r="DL14" s="88">
        <v>0.73420432001595692</v>
      </c>
      <c r="DM14" s="88">
        <v>1.6151130548286818</v>
      </c>
      <c r="DN14" s="88">
        <v>-0.50545667696254726</v>
      </c>
      <c r="DO14" s="88">
        <v>-0.23339441930571148</v>
      </c>
      <c r="DP14" s="88">
        <v>0.31161194889019789</v>
      </c>
      <c r="DQ14" s="88">
        <v>0.69270042875878279</v>
      </c>
      <c r="DR14" s="88">
        <v>-0.16610744176088404</v>
      </c>
      <c r="DS14" s="89">
        <v>0.94962344843586688</v>
      </c>
      <c r="DT14" s="89">
        <v>0.49071695561938328</v>
      </c>
      <c r="DU14" s="89">
        <v>4.847236150611537E-2</v>
      </c>
      <c r="DV14" s="89">
        <v>-5.0528723292798707E-2</v>
      </c>
      <c r="DW14" s="89">
        <v>-0.40242037054552499</v>
      </c>
      <c r="DX14" s="89">
        <v>1.0508542123518025</v>
      </c>
      <c r="DY14" s="89">
        <v>0.99574660378962243</v>
      </c>
      <c r="DZ14" s="89">
        <v>1.1730525950527519</v>
      </c>
      <c r="EA14" s="89">
        <v>0.46196123342202089</v>
      </c>
      <c r="EB14" s="89">
        <v>0.58609434591708531</v>
      </c>
      <c r="EC14" s="89">
        <v>0.55011147785008863</v>
      </c>
      <c r="ED14" s="89">
        <v>0.76538610755720105</v>
      </c>
      <c r="EE14" s="89">
        <v>3.1585277539973464E-2</v>
      </c>
      <c r="EF14" s="89">
        <v>1.1739409522465543</v>
      </c>
      <c r="EG14" s="89">
        <v>0.77610029930154922</v>
      </c>
      <c r="EH14" s="89">
        <v>0.84054622164213411</v>
      </c>
      <c r="EI14" s="89">
        <v>0.99623541883222455</v>
      </c>
      <c r="EJ14" s="89">
        <v>1.2834157605826189</v>
      </c>
      <c r="EK14" s="89">
        <v>0.35137370912207178</v>
      </c>
      <c r="EL14" s="89">
        <v>-0.74792694805150906</v>
      </c>
      <c r="EM14" s="89">
        <v>-0.10556555040308373</v>
      </c>
      <c r="EN14" s="89">
        <v>-6.0067551990012555E-2</v>
      </c>
      <c r="EO14" s="89">
        <v>0.65017526598532216</v>
      </c>
      <c r="EP14" s="89">
        <v>1.0369757744476937</v>
      </c>
      <c r="EQ14" s="89">
        <v>0.16894487457602544</v>
      </c>
      <c r="ER14" s="89">
        <v>1.5892425841213551</v>
      </c>
    </row>
    <row r="15" spans="1:148" x14ac:dyDescent="0.25">
      <c r="A15" s="87">
        <v>530</v>
      </c>
      <c r="B15" s="87">
        <v>1.272567933855808</v>
      </c>
      <c r="C15" s="87">
        <v>-0.1433725110188584</v>
      </c>
      <c r="D15" s="87">
        <v>0.11786767252318497</v>
      </c>
      <c r="E15" s="87">
        <v>-1.0892141559064561</v>
      </c>
      <c r="F15" s="87">
        <v>-0.62902372049371968</v>
      </c>
      <c r="G15" s="87">
        <v>0.5627881521232696</v>
      </c>
      <c r="H15" s="87">
        <v>1.2586762580918733</v>
      </c>
      <c r="I15" s="87">
        <v>-0.33967313496845769</v>
      </c>
      <c r="J15" s="87">
        <v>0.65738636239796489</v>
      </c>
      <c r="K15" s="87">
        <v>-1.0049582839062774</v>
      </c>
      <c r="L15" s="87">
        <v>-0.49575537854629398</v>
      </c>
      <c r="M15" s="87">
        <v>0.35694236045555655</v>
      </c>
      <c r="N15" s="87">
        <v>530</v>
      </c>
      <c r="O15" s="87">
        <v>-5.7449079E-2</v>
      </c>
      <c r="P15" s="87">
        <v>-1.4023231810000001</v>
      </c>
      <c r="Q15" s="87">
        <v>-0.17072638900000001</v>
      </c>
      <c r="R15" s="87">
        <v>-8.2063377000000007E-2</v>
      </c>
      <c r="S15" s="87">
        <v>-0.126021991</v>
      </c>
      <c r="T15" s="87">
        <v>9.2828878000000004E-2</v>
      </c>
      <c r="U15" s="87">
        <v>6.3871839E-2</v>
      </c>
      <c r="V15" s="87">
        <v>-0.44230178199999998</v>
      </c>
      <c r="W15" s="87">
        <v>-0.37492424600000002</v>
      </c>
      <c r="X15" s="87">
        <v>-0.20553929100000001</v>
      </c>
      <c r="Y15" s="87">
        <v>-7.7851132000000003E-2</v>
      </c>
      <c r="Z15" s="88">
        <v>2.2738501000000001E-2</v>
      </c>
      <c r="AA15" s="88">
        <v>0.70043534799999996</v>
      </c>
      <c r="AB15" s="88">
        <v>0.21244355500000001</v>
      </c>
      <c r="AC15" s="88">
        <v>0.91477134699999996</v>
      </c>
      <c r="AD15" s="88">
        <v>0.74663272999999997</v>
      </c>
      <c r="AE15" s="88">
        <v>0.45088620899999998</v>
      </c>
      <c r="AF15" s="89">
        <v>9.4148133999999994E-2</v>
      </c>
      <c r="AG15" s="89">
        <v>-7.6836175000000007E-2</v>
      </c>
      <c r="AH15" s="89">
        <v>-0.88305306299999997</v>
      </c>
      <c r="AI15" s="89">
        <v>0.43669584500000003</v>
      </c>
      <c r="AJ15" s="89">
        <v>0.223309691</v>
      </c>
      <c r="AK15" s="89">
        <v>0.27945215600000001</v>
      </c>
      <c r="AL15" s="89">
        <v>-1.8552202E-2</v>
      </c>
      <c r="AM15" s="89">
        <v>-0.19818666600000001</v>
      </c>
      <c r="AN15" s="89">
        <v>6.2433399000000001E-2</v>
      </c>
      <c r="AO15" s="90">
        <v>0.139999499</v>
      </c>
      <c r="AP15" s="89">
        <v>-0.121194394</v>
      </c>
      <c r="AQ15" s="89">
        <v>-0.210945457</v>
      </c>
      <c r="AR15" s="89">
        <v>-1.0589808009999999</v>
      </c>
      <c r="AS15" s="89">
        <v>-1.4198503650000001</v>
      </c>
      <c r="AT15" s="89">
        <v>-0.270495388</v>
      </c>
      <c r="AU15" s="89">
        <v>-0.147470712</v>
      </c>
      <c r="AV15" s="89">
        <v>0.27242833599999999</v>
      </c>
      <c r="AW15" s="89">
        <v>2.4272355449999998</v>
      </c>
      <c r="AX15" s="89">
        <v>2.5475949820000001</v>
      </c>
      <c r="AY15" s="89">
        <v>-1.9016599460000001</v>
      </c>
      <c r="AZ15" s="89">
        <v>0.182347327</v>
      </c>
      <c r="BA15" s="89">
        <v>0.26613160000000002</v>
      </c>
      <c r="BB15" s="89">
        <v>0.19493437</v>
      </c>
      <c r="BC15" s="89">
        <v>0.21108917599999999</v>
      </c>
      <c r="BD15" s="89">
        <v>-4.8994116999999997E-2</v>
      </c>
      <c r="BE15" s="89">
        <v>-0.11567350699999999</v>
      </c>
      <c r="BF15" s="89">
        <v>-0.17337997599999999</v>
      </c>
      <c r="BG15" s="89">
        <v>-0.204987486</v>
      </c>
      <c r="BH15" s="89">
        <v>0.30231806900000002</v>
      </c>
      <c r="BI15" s="89">
        <v>-2.6878869999999999E-2</v>
      </c>
      <c r="BJ15" s="89">
        <v>-0.384317676</v>
      </c>
      <c r="BK15" s="89">
        <v>-0.37057826999999999</v>
      </c>
      <c r="BL15" s="89">
        <v>8.7128458000000006E-2</v>
      </c>
      <c r="BM15" s="89">
        <v>4.2047161999999999E-2</v>
      </c>
      <c r="BN15" s="89">
        <v>0.16795332299999999</v>
      </c>
      <c r="BO15" s="89">
        <v>-0.14631184699999999</v>
      </c>
      <c r="BP15" s="89">
        <v>0.59901313899999997</v>
      </c>
      <c r="BQ15" s="89">
        <v>-7.5834571000000003E-2</v>
      </c>
      <c r="BR15" s="89">
        <v>-6.9922739999999997E-3</v>
      </c>
      <c r="BS15" s="89">
        <v>-8.5720224999999997E-2</v>
      </c>
      <c r="BT15" s="89">
        <v>-5.4154121999999999E-2</v>
      </c>
      <c r="BU15" s="89">
        <v>-7.7085210000000003E-3</v>
      </c>
      <c r="BV15" s="89">
        <v>-4.4409996E-2</v>
      </c>
      <c r="BW15" s="88">
        <v>4.2088949999999998E-3</v>
      </c>
      <c r="BX15" s="88">
        <v>-6.2804169000000007E-2</v>
      </c>
      <c r="BY15" s="88">
        <v>1.2368663120000001</v>
      </c>
      <c r="BZ15" s="88">
        <v>-2.9390778999999999E-2</v>
      </c>
      <c r="CA15" s="88">
        <v>-7.7502008999999997E-2</v>
      </c>
      <c r="CB15" s="88">
        <v>-6.0631217000000001E-2</v>
      </c>
      <c r="CC15" s="88">
        <v>2.292355353</v>
      </c>
      <c r="CD15" s="88">
        <v>0.203563092</v>
      </c>
      <c r="CE15" s="88">
        <v>-0.49310256572750261</v>
      </c>
      <c r="CF15" s="88">
        <v>0.26098392345766391</v>
      </c>
      <c r="CG15" s="88">
        <v>-0.49627833613394967</v>
      </c>
      <c r="CH15" s="88">
        <v>1.518425931297144</v>
      </c>
      <c r="CI15" s="88">
        <v>-0.34680603505455943</v>
      </c>
      <c r="CJ15" s="88">
        <v>-0.31701670339928278</v>
      </c>
      <c r="CK15" s="88">
        <v>0.46069178005083672</v>
      </c>
      <c r="CL15" s="88">
        <v>0.80807843348708641</v>
      </c>
      <c r="CM15" s="88">
        <v>3.8844556171110566E-2</v>
      </c>
      <c r="CN15" s="88">
        <v>-0.51101750747255115</v>
      </c>
      <c r="CO15" s="88">
        <v>4.9549622136416976E-2</v>
      </c>
      <c r="CP15" s="88">
        <v>0.62149852178298381</v>
      </c>
      <c r="CQ15" s="88">
        <v>1.2961077839325672</v>
      </c>
      <c r="CR15" s="88">
        <v>0.81129625159209284</v>
      </c>
      <c r="CS15" s="88">
        <v>0.23321945180637252</v>
      </c>
      <c r="CT15" s="88">
        <v>-0.54031261571881528</v>
      </c>
      <c r="CU15" s="88">
        <v>0.59936826754851935</v>
      </c>
      <c r="CV15" s="88">
        <v>0.58323099655305677</v>
      </c>
      <c r="CW15" s="88">
        <v>8.001738477469704E-2</v>
      </c>
      <c r="CX15" s="88">
        <v>2.0229381628191951E-2</v>
      </c>
      <c r="CY15" s="88">
        <v>7.6083626203315255E-2</v>
      </c>
      <c r="CZ15" s="88">
        <v>-0.30904924525779737</v>
      </c>
      <c r="DA15" s="88">
        <v>-0.22258277280634356</v>
      </c>
      <c r="DB15" s="88">
        <v>0.86924922358910117</v>
      </c>
      <c r="DC15" s="88">
        <v>0.21443700283694594</v>
      </c>
      <c r="DD15" s="88">
        <v>-0.16234225861977408</v>
      </c>
      <c r="DE15" s="88">
        <v>0.71589107743873182</v>
      </c>
      <c r="DF15" s="88">
        <v>-2.9802458596919625E-2</v>
      </c>
      <c r="DG15" s="88">
        <v>-0.74441051974082295</v>
      </c>
      <c r="DH15" s="88">
        <v>0.94034159010872198</v>
      </c>
      <c r="DI15" s="88">
        <v>-1.1288449909345299</v>
      </c>
      <c r="DJ15" s="88">
        <v>-0.74507613133290918</v>
      </c>
      <c r="DK15" s="88">
        <v>3.9795540287169293E-2</v>
      </c>
      <c r="DL15" s="88">
        <v>0.31690197653935248</v>
      </c>
      <c r="DM15" s="88">
        <v>1.6414846868219106</v>
      </c>
      <c r="DN15" s="88">
        <v>-0.53092566188908019</v>
      </c>
      <c r="DO15" s="88">
        <v>-0.41030604013103916</v>
      </c>
      <c r="DP15" s="88">
        <v>5.7207445912467597E-2</v>
      </c>
      <c r="DQ15" s="88">
        <v>0.51743003260558418</v>
      </c>
      <c r="DR15" s="88">
        <v>-0.55202640607582232</v>
      </c>
      <c r="DS15" s="89">
        <v>0.88471111304923133</v>
      </c>
      <c r="DT15" s="89">
        <v>0.86529505571832654</v>
      </c>
      <c r="DU15" s="89">
        <v>0.97734869170129013</v>
      </c>
      <c r="DV15" s="89">
        <v>-2.4233053110719483E-2</v>
      </c>
      <c r="DW15" s="89">
        <v>-0.38385705151691663</v>
      </c>
      <c r="DX15" s="89">
        <v>0.41828467050382023</v>
      </c>
      <c r="DY15" s="89">
        <v>0.52432025870244703</v>
      </c>
      <c r="DZ15" s="89">
        <v>1.0099858901045502</v>
      </c>
      <c r="EA15" s="89">
        <v>0.14060105933207551</v>
      </c>
      <c r="EB15" s="89">
        <v>0.25271120059504187</v>
      </c>
      <c r="EC15" s="89">
        <v>0.26533634798701972</v>
      </c>
      <c r="ED15" s="89">
        <v>0.21770183194594872</v>
      </c>
      <c r="EE15" s="89">
        <v>-0.20957618418751758</v>
      </c>
      <c r="EF15" s="89">
        <v>0.98834206671840741</v>
      </c>
      <c r="EG15" s="89">
        <v>1.4353919149781853</v>
      </c>
      <c r="EH15" s="89">
        <v>1.4168704911255945</v>
      </c>
      <c r="EI15" s="89">
        <v>1.4952511204104109</v>
      </c>
      <c r="EJ15" s="89">
        <v>1.7425597408301412</v>
      </c>
      <c r="EK15" s="89">
        <v>8.3165257220479891E-2</v>
      </c>
      <c r="EL15" s="89">
        <v>-0.68010597173417853</v>
      </c>
      <c r="EM15" s="89">
        <v>-0.15145809221695303</v>
      </c>
      <c r="EN15" s="89">
        <v>-0.14362794581836613</v>
      </c>
      <c r="EO15" s="89">
        <v>0.46196274574431168</v>
      </c>
      <c r="EP15" s="89">
        <v>0.86593140438824712</v>
      </c>
      <c r="EQ15" s="89">
        <v>-2.1558800137232194E-2</v>
      </c>
      <c r="ER15" s="89">
        <v>1.7662213881115854</v>
      </c>
    </row>
    <row r="16" spans="1:148" x14ac:dyDescent="0.25">
      <c r="A16" s="87">
        <v>540</v>
      </c>
      <c r="B16" s="87">
        <v>1.3998817674894326</v>
      </c>
      <c r="C16" s="87">
        <v>-0.18617352926016992</v>
      </c>
      <c r="D16" s="87">
        <v>-1.5397832551105797E-2</v>
      </c>
      <c r="E16" s="87">
        <v>-0.70371343103684247</v>
      </c>
      <c r="F16" s="87">
        <v>-0.66413939730860405</v>
      </c>
      <c r="G16" s="87">
        <v>0.47548323444609852</v>
      </c>
      <c r="H16" s="87">
        <v>0.83980244844588392</v>
      </c>
      <c r="I16" s="87">
        <v>-0.71416145319853785</v>
      </c>
      <c r="J16" s="87">
        <v>1.4336230427291916</v>
      </c>
      <c r="K16" s="87">
        <v>-0.81853794401480229</v>
      </c>
      <c r="L16" s="87">
        <v>-0.71136564092693821</v>
      </c>
      <c r="M16" s="87">
        <v>9.1164060627156093E-3</v>
      </c>
      <c r="N16" s="87">
        <v>540</v>
      </c>
      <c r="O16" s="87">
        <v>-3.6583495000000001E-2</v>
      </c>
      <c r="P16" s="87">
        <v>-1.2783484169999999</v>
      </c>
      <c r="Q16" s="87">
        <v>-0.181094268</v>
      </c>
      <c r="R16" s="87">
        <v>-0.12404319900000001</v>
      </c>
      <c r="S16" s="87">
        <v>-9.2720260999999998E-2</v>
      </c>
      <c r="T16" s="87">
        <v>6.0449672000000003E-2</v>
      </c>
      <c r="U16" s="87">
        <v>5.4447044E-2</v>
      </c>
      <c r="V16" s="87">
        <v>-0.55896592700000003</v>
      </c>
      <c r="W16" s="87">
        <v>-0.54933911599999996</v>
      </c>
      <c r="X16" s="87">
        <v>-0.21221087699999999</v>
      </c>
      <c r="Y16" s="87">
        <v>-5.8765748E-2</v>
      </c>
      <c r="Z16" s="88">
        <v>8.3063303000000005E-2</v>
      </c>
      <c r="AA16" s="88">
        <v>0.135312707</v>
      </c>
      <c r="AB16" s="88">
        <v>1.8303206999999998E-2</v>
      </c>
      <c r="AC16" s="88">
        <v>0.22407669599999999</v>
      </c>
      <c r="AD16" s="88">
        <v>0.210343631</v>
      </c>
      <c r="AE16" s="88">
        <v>1.3417006E-2</v>
      </c>
      <c r="AF16" s="89">
        <v>-2.3596747000000001E-2</v>
      </c>
      <c r="AG16" s="89">
        <v>-2.3796777000000002E-2</v>
      </c>
      <c r="AH16" s="89">
        <v>-0.64588477600000005</v>
      </c>
      <c r="AI16" s="89">
        <v>0.31984902399999998</v>
      </c>
      <c r="AJ16" s="89">
        <v>-4.9788671E-2</v>
      </c>
      <c r="AK16" s="89">
        <v>0.10485056800000001</v>
      </c>
      <c r="AL16" s="89">
        <v>-0.205152907</v>
      </c>
      <c r="AM16" s="89">
        <v>-0.49650655700000002</v>
      </c>
      <c r="AN16" s="89">
        <v>-0.17351334299999999</v>
      </c>
      <c r="AO16" s="90">
        <v>2.0315257E-2</v>
      </c>
      <c r="AP16" s="89">
        <v>-0.125571142</v>
      </c>
      <c r="AQ16" s="89">
        <v>-8.8017647000000004E-2</v>
      </c>
      <c r="AR16" s="89">
        <v>-1.20502379</v>
      </c>
      <c r="AS16" s="89">
        <v>-0.54877863000000005</v>
      </c>
      <c r="AT16" s="89">
        <v>-0.33700832200000003</v>
      </c>
      <c r="AU16" s="89">
        <v>-0.33723519000000002</v>
      </c>
      <c r="AV16" s="89">
        <v>0.11734976699999999</v>
      </c>
      <c r="AW16" s="89">
        <v>0.74462491600000003</v>
      </c>
      <c r="AX16" s="89">
        <v>1.1593037450000001</v>
      </c>
      <c r="AY16" s="89">
        <v>-1.1228301169999999</v>
      </c>
      <c r="AZ16" s="89">
        <v>-7.7321212E-2</v>
      </c>
      <c r="BA16" s="89">
        <v>0.14320497900000001</v>
      </c>
      <c r="BB16" s="89">
        <v>1.5174829000000001E-2</v>
      </c>
      <c r="BC16" s="89">
        <v>8.1052055999999997E-2</v>
      </c>
      <c r="BD16" s="89">
        <v>-0.13125203599999999</v>
      </c>
      <c r="BE16" s="89">
        <v>-0.163915379</v>
      </c>
      <c r="BF16" s="89">
        <v>-0.16755083600000001</v>
      </c>
      <c r="BG16" s="89">
        <v>-0.18155653399999999</v>
      </c>
      <c r="BH16" s="89">
        <v>0.182931974</v>
      </c>
      <c r="BI16" s="89">
        <v>-0.15266537599999999</v>
      </c>
      <c r="BJ16" s="89">
        <v>-0.115711197</v>
      </c>
      <c r="BK16" s="89">
        <v>-0.214771401</v>
      </c>
      <c r="BL16" s="89">
        <v>-8.582035E-3</v>
      </c>
      <c r="BM16" s="89">
        <v>-0.13568223400000001</v>
      </c>
      <c r="BN16" s="89">
        <v>-3.7645990999999997E-2</v>
      </c>
      <c r="BO16" s="89">
        <v>-0.16360274</v>
      </c>
      <c r="BP16" s="89">
        <v>0.25599646399999998</v>
      </c>
      <c r="BQ16" s="89">
        <v>-7.649504E-2</v>
      </c>
      <c r="BR16" s="89">
        <v>-9.1309810000000005E-2</v>
      </c>
      <c r="BS16" s="89">
        <v>-0.13920248599999999</v>
      </c>
      <c r="BT16" s="89">
        <v>-0.116282765</v>
      </c>
      <c r="BU16" s="89">
        <v>-9.8147390000000001E-2</v>
      </c>
      <c r="BV16" s="89">
        <v>-0.24099272599999999</v>
      </c>
      <c r="BW16" s="88">
        <v>2.7423297999999999E-2</v>
      </c>
      <c r="BX16" s="88">
        <v>7.9434750000000002E-3</v>
      </c>
      <c r="BY16" s="88">
        <v>0.74505375100000004</v>
      </c>
      <c r="BZ16" s="88">
        <v>-0.11753659</v>
      </c>
      <c r="CA16" s="88">
        <v>-9.8924965000000004E-2</v>
      </c>
      <c r="CB16" s="88">
        <v>-0.13385366900000001</v>
      </c>
      <c r="CC16" s="88">
        <v>1.9120799260000001</v>
      </c>
      <c r="CD16" s="88">
        <v>4.9322669E-2</v>
      </c>
      <c r="CE16" s="88">
        <v>-0.67911330613880228</v>
      </c>
      <c r="CF16" s="88">
        <v>0.26608123087518443</v>
      </c>
      <c r="CG16" s="88">
        <v>-0.50143205085064779</v>
      </c>
      <c r="CH16" s="88">
        <v>1.1649838163685222</v>
      </c>
      <c r="CI16" s="88">
        <v>-0.3552344140800745</v>
      </c>
      <c r="CJ16" s="88">
        <v>-0.42140715374297966</v>
      </c>
      <c r="CK16" s="88">
        <v>0.23354404736232717</v>
      </c>
      <c r="CL16" s="88">
        <v>0.82811408928873342</v>
      </c>
      <c r="CM16" s="88">
        <v>-0.11912933033852097</v>
      </c>
      <c r="CN16" s="88">
        <v>-0.78935828011368403</v>
      </c>
      <c r="CO16" s="88">
        <v>-0.36729721745428423</v>
      </c>
      <c r="CP16" s="88">
        <v>0.37179997259738728</v>
      </c>
      <c r="CQ16" s="88">
        <v>1.5760114325612835</v>
      </c>
      <c r="CR16" s="88">
        <v>0.86005205150994835</v>
      </c>
      <c r="CS16" s="88">
        <v>0.27406204143045465</v>
      </c>
      <c r="CT16" s="88">
        <v>-0.326047275436601</v>
      </c>
      <c r="CU16" s="88">
        <v>0.24204242853412955</v>
      </c>
      <c r="CV16" s="88">
        <v>0.49221219664043481</v>
      </c>
      <c r="CW16" s="88">
        <v>0.49626608521793297</v>
      </c>
      <c r="CX16" s="88">
        <v>-7.577637637100558E-2</v>
      </c>
      <c r="CY16" s="88">
        <v>-0.17246583226144288</v>
      </c>
      <c r="CZ16" s="88">
        <v>-0.33113439551379142</v>
      </c>
      <c r="DA16" s="88">
        <v>-0.2884639044491405</v>
      </c>
      <c r="DB16" s="88">
        <v>0.23775865771594679</v>
      </c>
      <c r="DC16" s="88">
        <v>0.47923701995441592</v>
      </c>
      <c r="DD16" s="88">
        <v>0.19698489732612715</v>
      </c>
      <c r="DE16" s="88">
        <v>0.48197065000718625</v>
      </c>
      <c r="DF16" s="88">
        <v>-0.33487055934462695</v>
      </c>
      <c r="DG16" s="88">
        <v>-0.80454165318608017</v>
      </c>
      <c r="DH16" s="88">
        <v>0.77233054490102959</v>
      </c>
      <c r="DI16" s="88">
        <v>-0.98366463657571257</v>
      </c>
      <c r="DJ16" s="88">
        <v>-0.70525267306735528</v>
      </c>
      <c r="DK16" s="88">
        <v>-0.12061526739478146</v>
      </c>
      <c r="DL16" s="88">
        <v>0.14513496402374823</v>
      </c>
      <c r="DM16" s="88">
        <v>1.4701689907651148</v>
      </c>
      <c r="DN16" s="88">
        <v>-0.53300377360206441</v>
      </c>
      <c r="DO16" s="88">
        <v>-0.49335578369532462</v>
      </c>
      <c r="DP16" s="88">
        <v>-8.583530172425563E-2</v>
      </c>
      <c r="DQ16" s="88">
        <v>0.15129627935997311</v>
      </c>
      <c r="DR16" s="88">
        <v>-0.17579373646261137</v>
      </c>
      <c r="DS16" s="89">
        <v>0.83965212122822264</v>
      </c>
      <c r="DT16" s="89">
        <v>0.84221674673312652</v>
      </c>
      <c r="DU16" s="89">
        <v>0.59971964037932757</v>
      </c>
      <c r="DV16" s="89">
        <v>-0.13480830898661839</v>
      </c>
      <c r="DW16" s="89">
        <v>-0.35628469610802221</v>
      </c>
      <c r="DX16" s="89">
        <v>9.2045815209100858E-3</v>
      </c>
      <c r="DY16" s="89">
        <v>0.309893531350106</v>
      </c>
      <c r="DZ16" s="89">
        <v>0.90150810018679994</v>
      </c>
      <c r="EA16" s="89">
        <v>-0.17130305659422601</v>
      </c>
      <c r="EB16" s="89">
        <v>-8.0661944232753274E-2</v>
      </c>
      <c r="EC16" s="89">
        <v>1.3683777741463668E-2</v>
      </c>
      <c r="ED16" s="89">
        <v>0.20560001031311426</v>
      </c>
      <c r="EE16" s="89">
        <v>-0.385955414925995</v>
      </c>
      <c r="EF16" s="89">
        <v>0.77662647527038842</v>
      </c>
      <c r="EG16" s="89">
        <v>2.0900724615613271</v>
      </c>
      <c r="EH16" s="89">
        <v>1.9344190321639176</v>
      </c>
      <c r="EI16" s="89">
        <v>1.9425703625899906</v>
      </c>
      <c r="EJ16" s="89">
        <v>2.0280290730455803</v>
      </c>
      <c r="EK16" s="89">
        <v>-0.10833388644059028</v>
      </c>
      <c r="EL16" s="89">
        <v>-0.59182338968678427</v>
      </c>
      <c r="EM16" s="89">
        <v>-0.20632115674642532</v>
      </c>
      <c r="EN16" s="89">
        <v>-0.22811351837822477</v>
      </c>
      <c r="EO16" s="89">
        <v>0.2321966090087966</v>
      </c>
      <c r="EP16" s="89">
        <v>0.60823022356452883</v>
      </c>
      <c r="EQ16" s="89">
        <v>-0.17338249655346399</v>
      </c>
      <c r="ER16" s="89">
        <v>1.687618323670055</v>
      </c>
    </row>
    <row r="17" spans="1:148" x14ac:dyDescent="0.25">
      <c r="A17" s="87">
        <v>550</v>
      </c>
      <c r="B17" s="87">
        <v>1.4087230059362119</v>
      </c>
      <c r="C17" s="87">
        <v>0.35897628202390297</v>
      </c>
      <c r="D17" s="87">
        <v>1.5632317310766816E-3</v>
      </c>
      <c r="E17" s="87">
        <v>-0.64826469663778841</v>
      </c>
      <c r="F17" s="87">
        <v>-0.56581550222692767</v>
      </c>
      <c r="G17" s="87">
        <v>-0.26660856580985581</v>
      </c>
      <c r="H17" s="87">
        <v>0.33406540638482751</v>
      </c>
      <c r="I17" s="87">
        <v>-1.0514335410455042</v>
      </c>
      <c r="J17" s="87">
        <v>1.7012146048946575</v>
      </c>
      <c r="K17" s="87">
        <v>-1.0288583274821077</v>
      </c>
      <c r="L17" s="87">
        <v>-0.5452397010598844</v>
      </c>
      <c r="M17" s="87">
        <v>-9.957920468504719E-2</v>
      </c>
      <c r="N17" s="87">
        <v>550</v>
      </c>
      <c r="O17" s="87">
        <v>-6.5701314999999996E-2</v>
      </c>
      <c r="P17" s="87">
        <v>-1.1118211389999999</v>
      </c>
      <c r="Q17" s="87">
        <v>-0.210526659</v>
      </c>
      <c r="R17" s="87">
        <v>-8.6974249000000003E-2</v>
      </c>
      <c r="S17" s="87">
        <v>-0.12115123799999999</v>
      </c>
      <c r="T17" s="87">
        <v>8.3571525999999993E-2</v>
      </c>
      <c r="U17" s="87">
        <v>4.2153504000000001E-2</v>
      </c>
      <c r="V17" s="87">
        <v>-0.70477222399999995</v>
      </c>
      <c r="W17" s="87">
        <v>-0.68763334300000001</v>
      </c>
      <c r="X17" s="87">
        <v>-0.24777917799999999</v>
      </c>
      <c r="Y17" s="87">
        <v>-2.4523687999999998E-2</v>
      </c>
      <c r="Z17" s="88">
        <v>0.18245238699999999</v>
      </c>
      <c r="AA17" s="88">
        <v>-0.13107310999999999</v>
      </c>
      <c r="AB17" s="88">
        <v>-3.0819720000000001E-3</v>
      </c>
      <c r="AC17" s="88">
        <v>-0.160731505</v>
      </c>
      <c r="AD17" s="88">
        <v>-0.151908289</v>
      </c>
      <c r="AE17" s="88">
        <v>-0.227380939</v>
      </c>
      <c r="AF17" s="89">
        <v>1.4518969E-2</v>
      </c>
      <c r="AG17" s="89">
        <v>9.8716364000000001E-2</v>
      </c>
      <c r="AH17" s="89">
        <v>-0.46064550199999998</v>
      </c>
      <c r="AI17" s="89">
        <v>0.222302166</v>
      </c>
      <c r="AJ17" s="89">
        <v>-0.27774884999999999</v>
      </c>
      <c r="AK17" s="89">
        <v>-0.22958254</v>
      </c>
      <c r="AL17" s="89">
        <v>-0.51950375500000001</v>
      </c>
      <c r="AM17" s="89">
        <v>-0.694521787</v>
      </c>
      <c r="AN17" s="89">
        <v>-0.44723033200000001</v>
      </c>
      <c r="AO17" s="90">
        <v>-7.2002538000000005E-2</v>
      </c>
      <c r="AP17" s="89">
        <v>-0.112643323</v>
      </c>
      <c r="AQ17" s="89">
        <v>-3.1568701999999997E-2</v>
      </c>
      <c r="AR17" s="89">
        <v>-0.76982951099999997</v>
      </c>
      <c r="AS17" s="89">
        <v>8.9330935E-2</v>
      </c>
      <c r="AT17" s="89">
        <v>-0.42325635</v>
      </c>
      <c r="AU17" s="89">
        <v>-0.65242495499999997</v>
      </c>
      <c r="AV17" s="89">
        <v>3.5024791999999999E-2</v>
      </c>
      <c r="AW17" s="89">
        <v>0.13394966899999999</v>
      </c>
      <c r="AX17" s="89">
        <v>0.37451630000000002</v>
      </c>
      <c r="AY17" s="89">
        <v>0.28782405100000003</v>
      </c>
      <c r="AZ17" s="89">
        <v>-0.15346869399999999</v>
      </c>
      <c r="BA17" s="89">
        <v>0.22857614200000001</v>
      </c>
      <c r="BB17" s="89">
        <v>-0.20311095800000001</v>
      </c>
      <c r="BC17" s="89">
        <v>-9.9971024000000006E-2</v>
      </c>
      <c r="BD17" s="89">
        <v>-0.19690450900000001</v>
      </c>
      <c r="BE17" s="89">
        <v>-0.163915379</v>
      </c>
      <c r="BF17" s="89">
        <v>-0.163178981</v>
      </c>
      <c r="BG17" s="89">
        <v>-0.174861976</v>
      </c>
      <c r="BH17" s="89">
        <v>5.6617120000000002E-3</v>
      </c>
      <c r="BI17" s="89">
        <v>-8.8877906000000007E-2</v>
      </c>
      <c r="BJ17" s="89">
        <v>-7.0063186E-2</v>
      </c>
      <c r="BK17" s="89">
        <v>-9.1161423000000005E-2</v>
      </c>
      <c r="BL17" s="89">
        <v>-4.0372668E-2</v>
      </c>
      <c r="BM17" s="89">
        <v>-0.13590643999999999</v>
      </c>
      <c r="BN17" s="89">
        <v>-0.13281462199999999</v>
      </c>
      <c r="BO17" s="89">
        <v>-0.180119634</v>
      </c>
      <c r="BP17" s="89">
        <v>0.110406505</v>
      </c>
      <c r="BQ17" s="89">
        <v>-5.8985190999999999E-2</v>
      </c>
      <c r="BR17" s="89">
        <v>-0.11657833300000001</v>
      </c>
      <c r="BS17" s="89">
        <v>-0.174650689</v>
      </c>
      <c r="BT17" s="89">
        <v>-0.10335348599999999</v>
      </c>
      <c r="BU17" s="89">
        <v>-0.12612952299999999</v>
      </c>
      <c r="BV17" s="89">
        <v>-0.211279303</v>
      </c>
      <c r="BW17" s="88">
        <v>-7.2846849999999999E-3</v>
      </c>
      <c r="BX17" s="88">
        <v>2.0888932999999998E-2</v>
      </c>
      <c r="BY17" s="88">
        <v>0.438452069</v>
      </c>
      <c r="BZ17" s="88">
        <v>-0.10527881</v>
      </c>
      <c r="CA17" s="88">
        <v>-0.12099805600000001</v>
      </c>
      <c r="CB17" s="88">
        <v>-6.8617485000000006E-2</v>
      </c>
      <c r="CC17" s="88">
        <v>1.472731287</v>
      </c>
      <c r="CD17" s="88">
        <v>-2.0767263000000001E-2</v>
      </c>
      <c r="CE17" s="88">
        <v>-0.70925521741912145</v>
      </c>
      <c r="CF17" s="88">
        <v>0.21664430645679303</v>
      </c>
      <c r="CG17" s="88">
        <v>-0.50251949637211013</v>
      </c>
      <c r="CH17" s="88">
        <v>0.6669676769384143</v>
      </c>
      <c r="CI17" s="88">
        <v>-0.18937171463161903</v>
      </c>
      <c r="CJ17" s="88">
        <v>-0.36141946644956796</v>
      </c>
      <c r="CK17" s="88">
        <v>7.4034170039295105E-2</v>
      </c>
      <c r="CL17" s="88">
        <v>0.58913144394497186</v>
      </c>
      <c r="CM17" s="88">
        <v>-1.2324691019304563</v>
      </c>
      <c r="CN17" s="88">
        <v>-1.1884231866873274</v>
      </c>
      <c r="CO17" s="88">
        <v>-0.57100782606403966</v>
      </c>
      <c r="CP17" s="88">
        <v>9.821223274542188E-3</v>
      </c>
      <c r="CQ17" s="88">
        <v>1.6923665176730742</v>
      </c>
      <c r="CR17" s="88">
        <v>0.64671907510700843</v>
      </c>
      <c r="CS17" s="88">
        <v>-0.1618201703700084</v>
      </c>
      <c r="CT17" s="88">
        <v>0.12580185691809911</v>
      </c>
      <c r="CU17" s="88">
        <v>8.7723745008816842E-2</v>
      </c>
      <c r="CV17" s="88">
        <v>0.30223699932015025</v>
      </c>
      <c r="CW17" s="88">
        <v>1.2175603103687704</v>
      </c>
      <c r="CX17" s="88">
        <v>-0.20963699692999913</v>
      </c>
      <c r="CY17" s="88">
        <v>-0.42792309980338716</v>
      </c>
      <c r="CZ17" s="88">
        <v>-0.29717449703693277</v>
      </c>
      <c r="DA17" s="88">
        <v>-0.25734649885540795</v>
      </c>
      <c r="DB17" s="88">
        <v>0.38739972848762178</v>
      </c>
      <c r="DC17" s="88">
        <v>0.69619229619695111</v>
      </c>
      <c r="DD17" s="88">
        <v>0.68153706153175386</v>
      </c>
      <c r="DE17" s="88">
        <v>0.38676262426715302</v>
      </c>
      <c r="DF17" s="88">
        <v>-0.19309958578368447</v>
      </c>
      <c r="DG17" s="88">
        <v>-0.53772178511944468</v>
      </c>
      <c r="DH17" s="88">
        <v>0.16651217473265981</v>
      </c>
      <c r="DI17" s="88">
        <v>-0.88363208034550556</v>
      </c>
      <c r="DJ17" s="88">
        <v>-1.0462748213368052</v>
      </c>
      <c r="DK17" s="88">
        <v>-0.3307826700458053</v>
      </c>
      <c r="DL17" s="88">
        <v>-5.3932133932376912E-2</v>
      </c>
      <c r="DM17" s="88">
        <v>1.0587273584396906</v>
      </c>
      <c r="DN17" s="88">
        <v>-0.5130441116625859</v>
      </c>
      <c r="DO17" s="88">
        <v>-0.58463686800545278</v>
      </c>
      <c r="DP17" s="88">
        <v>-7.8020512200982148E-2</v>
      </c>
      <c r="DQ17" s="88">
        <v>-0.27797392424857198</v>
      </c>
      <c r="DR17" s="88">
        <v>-0.8665863077888899</v>
      </c>
      <c r="DS17" s="89">
        <v>0.8760643960090555</v>
      </c>
      <c r="DT17" s="89">
        <v>0.42106301525150164</v>
      </c>
      <c r="DU17" s="89">
        <v>-0.62275909480004077</v>
      </c>
      <c r="DV17" s="89">
        <v>-0.22979345967160475</v>
      </c>
      <c r="DW17" s="89">
        <v>-0.38199679954279081</v>
      </c>
      <c r="DX17" s="89">
        <v>-0.1829631021555953</v>
      </c>
      <c r="DY17" s="89">
        <v>0.2976718495340076</v>
      </c>
      <c r="DZ17" s="89">
        <v>0.48183281526837662</v>
      </c>
      <c r="EA17" s="89">
        <v>-0.32216154915135231</v>
      </c>
      <c r="EB17" s="89">
        <v>-0.41402508816622979</v>
      </c>
      <c r="EC17" s="89">
        <v>-0.24477389653635714</v>
      </c>
      <c r="ED17" s="89">
        <v>-0.17960271918230364</v>
      </c>
      <c r="EE17" s="89">
        <v>-0.52067824909824112</v>
      </c>
      <c r="EF17" s="89">
        <v>0.36830852260600955</v>
      </c>
      <c r="EG17" s="89">
        <v>2.4773035977526661</v>
      </c>
      <c r="EH17" s="89">
        <v>2.2700042853411362</v>
      </c>
      <c r="EI17" s="89">
        <v>2.2260809030981843</v>
      </c>
      <c r="EJ17" s="89">
        <v>2.0770429747336281</v>
      </c>
      <c r="EK17" s="89">
        <v>-0.18463957591680188</v>
      </c>
      <c r="EL17" s="89">
        <v>-0.30175391421284259</v>
      </c>
      <c r="EM17" s="89">
        <v>-0.32972196516147506</v>
      </c>
      <c r="EN17" s="89">
        <v>-0.42635519053403298</v>
      </c>
      <c r="EO17" s="89">
        <v>-5.8195237562761994E-2</v>
      </c>
      <c r="EP17" s="89">
        <v>0.26741280562976971</v>
      </c>
      <c r="EQ17" s="89">
        <v>-0.24987881750214774</v>
      </c>
      <c r="ER17" s="89">
        <v>1.3976385925130859</v>
      </c>
    </row>
    <row r="18" spans="1:148" x14ac:dyDescent="0.25">
      <c r="A18" s="87">
        <v>560</v>
      </c>
      <c r="B18" s="87">
        <v>1.4228689874510589</v>
      </c>
      <c r="C18" s="87">
        <v>0.14722387598794079</v>
      </c>
      <c r="D18" s="87">
        <v>-3.962792438279502E-2</v>
      </c>
      <c r="E18" s="87">
        <v>-0.21787690106417856</v>
      </c>
      <c r="F18" s="87">
        <v>-1.0539234099538208</v>
      </c>
      <c r="G18" s="87">
        <v>-0.1259506428855246</v>
      </c>
      <c r="H18" s="87">
        <v>6.3824238871285896E-2</v>
      </c>
      <c r="I18" s="87">
        <v>-1.1188879586148974</v>
      </c>
      <c r="J18" s="87">
        <v>1.8272701341792157</v>
      </c>
      <c r="K18" s="87">
        <v>-0.96671821418494919</v>
      </c>
      <c r="L18" s="87">
        <v>-0.34023322207500944</v>
      </c>
      <c r="M18" s="87">
        <v>-0.76262243024640031</v>
      </c>
      <c r="N18" s="87">
        <v>560</v>
      </c>
      <c r="O18" s="87">
        <v>-0.115255858</v>
      </c>
      <c r="P18" s="87">
        <v>-0.71074901800000001</v>
      </c>
      <c r="Q18" s="87">
        <v>-0.24209093500000001</v>
      </c>
      <c r="R18" s="87">
        <v>-2.5748762000000001E-2</v>
      </c>
      <c r="S18" s="87">
        <v>-0.21435514899999999</v>
      </c>
      <c r="T18" s="87">
        <v>4.7587401000000001E-2</v>
      </c>
      <c r="U18" s="87">
        <v>1.6206514000000002E-2</v>
      </c>
      <c r="V18" s="87">
        <v>-0.87150317200000005</v>
      </c>
      <c r="W18" s="87">
        <v>-0.77600161899999998</v>
      </c>
      <c r="X18" s="87">
        <v>-0.307240293</v>
      </c>
      <c r="Y18" s="87">
        <v>-1.5689794999999999E-2</v>
      </c>
      <c r="Z18" s="88">
        <v>0.17581919700000001</v>
      </c>
      <c r="AA18" s="88">
        <v>-0.47970816100000002</v>
      </c>
      <c r="AB18" s="88">
        <v>-0.17506961700000001</v>
      </c>
      <c r="AC18" s="88">
        <v>-0.57904343999999996</v>
      </c>
      <c r="AD18" s="88">
        <v>-0.54601803699999996</v>
      </c>
      <c r="AE18" s="88">
        <v>-0.53942371499999997</v>
      </c>
      <c r="AF18" s="89">
        <v>7.3141414000000002E-2</v>
      </c>
      <c r="AG18" s="89">
        <v>0.14106935800000001</v>
      </c>
      <c r="AH18" s="89">
        <v>-9.3405195999999996E-2</v>
      </c>
      <c r="AI18" s="89">
        <v>-2.7660579000000001E-2</v>
      </c>
      <c r="AJ18" s="89">
        <v>-0.61705844700000001</v>
      </c>
      <c r="AK18" s="89">
        <v>-0.60678694300000002</v>
      </c>
      <c r="AL18" s="89">
        <v>-0.798765528</v>
      </c>
      <c r="AM18" s="89">
        <v>-0.86010190399999997</v>
      </c>
      <c r="AN18" s="89">
        <v>-0.73802068499999995</v>
      </c>
      <c r="AO18" s="90">
        <v>-0.12890664499999999</v>
      </c>
      <c r="AP18" s="89">
        <v>-8.4229175000000003E-2</v>
      </c>
      <c r="AQ18" s="89">
        <v>-0.21029710500000001</v>
      </c>
      <c r="AR18" s="89">
        <v>0.168727448</v>
      </c>
      <c r="AS18" s="89">
        <v>0.415732977</v>
      </c>
      <c r="AT18" s="89">
        <v>-0.51145568200000002</v>
      </c>
      <c r="AU18" s="89">
        <v>-0.386754178</v>
      </c>
      <c r="AV18" s="89">
        <v>-6.3111076000000002E-2</v>
      </c>
      <c r="AW18" s="89">
        <v>-6.9353555999999997E-2</v>
      </c>
      <c r="AX18" s="89">
        <v>0.104974161</v>
      </c>
      <c r="AY18" s="89">
        <v>1.364299325</v>
      </c>
      <c r="AZ18" s="89">
        <v>-0.31177531000000003</v>
      </c>
      <c r="BA18" s="89">
        <v>0.18449254800000001</v>
      </c>
      <c r="BB18" s="89">
        <v>-0.51242123399999995</v>
      </c>
      <c r="BC18" s="89">
        <v>-0.339318548</v>
      </c>
      <c r="BD18" s="89">
        <v>-0.30145785000000003</v>
      </c>
      <c r="BE18" s="89">
        <v>-0.244720516</v>
      </c>
      <c r="BF18" s="89">
        <v>-0.21412447400000001</v>
      </c>
      <c r="BG18" s="89">
        <v>-0.228418438</v>
      </c>
      <c r="BH18" s="89">
        <v>-0.22587495699999999</v>
      </c>
      <c r="BI18" s="89">
        <v>-6.4518440999999996E-2</v>
      </c>
      <c r="BJ18" s="89">
        <v>-0.247373643</v>
      </c>
      <c r="BK18" s="89">
        <v>-0.19442741799999999</v>
      </c>
      <c r="BL18" s="89">
        <v>-0.11314246</v>
      </c>
      <c r="BM18" s="89">
        <v>-6.0040245999999999E-2</v>
      </c>
      <c r="BN18" s="89">
        <v>-0.14159355100000001</v>
      </c>
      <c r="BO18" s="89">
        <v>-0.202658372</v>
      </c>
      <c r="BP18" s="89">
        <v>1.3670799000000001E-2</v>
      </c>
      <c r="BQ18" s="89">
        <v>-9.3772978000000007E-2</v>
      </c>
      <c r="BR18" s="89">
        <v>2.1877384999999999E-2</v>
      </c>
      <c r="BS18" s="89">
        <v>-0.16013126499999999</v>
      </c>
      <c r="BT18" s="89">
        <v>-8.2783078999999996E-2</v>
      </c>
      <c r="BU18" s="89">
        <v>-0.134425552</v>
      </c>
      <c r="BV18" s="89">
        <v>-0.14637809299999999</v>
      </c>
      <c r="BW18" s="88">
        <v>3.0201243999999999E-2</v>
      </c>
      <c r="BX18" s="88">
        <v>3.8718821E-2</v>
      </c>
      <c r="BY18" s="88">
        <v>0.26621987499999999</v>
      </c>
      <c r="BZ18" s="88">
        <v>-0.11329183499999999</v>
      </c>
      <c r="CA18" s="88">
        <v>-0.10956883000000001</v>
      </c>
      <c r="CB18" s="88">
        <v>-6.8616759999999999E-2</v>
      </c>
      <c r="CC18" s="88">
        <v>1.134376286</v>
      </c>
      <c r="CD18" s="88">
        <v>-5.1158388999999999E-2</v>
      </c>
      <c r="CE18" s="88">
        <v>-0.74620089298420822</v>
      </c>
      <c r="CF18" s="88">
        <v>9.0672702670232586E-2</v>
      </c>
      <c r="CG18" s="88">
        <v>-0.55773678980649044</v>
      </c>
      <c r="CH18" s="88">
        <v>0.12857573320415633</v>
      </c>
      <c r="CI18" s="88">
        <v>-0.23146413415500036</v>
      </c>
      <c r="CJ18" s="88">
        <v>-0.49148582922159445</v>
      </c>
      <c r="CK18" s="88">
        <v>-6.5839129528778129E-2</v>
      </c>
      <c r="CL18" s="88">
        <v>0.48906088351629934</v>
      </c>
      <c r="CM18" s="88">
        <v>-1.450182538625961</v>
      </c>
      <c r="CN18" s="88">
        <v>-1.3910849149328304</v>
      </c>
      <c r="CO18" s="88">
        <v>-0.90690100044840805</v>
      </c>
      <c r="CP18" s="88">
        <v>-0.36972658460969432</v>
      </c>
      <c r="CQ18" s="88">
        <v>1.7946780925358525</v>
      </c>
      <c r="CR18" s="88">
        <v>0.46148509895768902</v>
      </c>
      <c r="CS18" s="88">
        <v>-0.33736471311391347</v>
      </c>
      <c r="CT18" s="88">
        <v>0.91951533635313587</v>
      </c>
      <c r="CU18" s="88">
        <v>-0.13008697776487224</v>
      </c>
      <c r="CV18" s="88">
        <v>8.2307345519128508E-2</v>
      </c>
      <c r="CW18" s="88">
        <v>1.891385080292056</v>
      </c>
      <c r="CX18" s="88">
        <v>-0.30613087992785998</v>
      </c>
      <c r="CY18" s="88">
        <v>-0.60625723299753942</v>
      </c>
      <c r="CZ18" s="88">
        <v>-0.28430837739237796</v>
      </c>
      <c r="DA18" s="88">
        <v>-0.39349259213556481</v>
      </c>
      <c r="DB18" s="88">
        <v>9.8635870688240868E-2</v>
      </c>
      <c r="DC18" s="88">
        <v>1.1082718077643783</v>
      </c>
      <c r="DD18" s="88">
        <v>1.3782509897923143</v>
      </c>
      <c r="DE18" s="88">
        <v>0.26428667272851625</v>
      </c>
      <c r="DF18" s="88">
        <v>4.8692592044860816E-2</v>
      </c>
      <c r="DG18" s="88">
        <v>-0.45775434034551948</v>
      </c>
      <c r="DH18" s="88">
        <v>2.6324774954238316E-2</v>
      </c>
      <c r="DI18" s="88">
        <v>-0.70928646930812145</v>
      </c>
      <c r="DJ18" s="88">
        <v>-0.7602617939459192</v>
      </c>
      <c r="DK18" s="88">
        <v>-0.65777583046998123</v>
      </c>
      <c r="DL18" s="88">
        <v>-0.42086273866473584</v>
      </c>
      <c r="DM18" s="88">
        <v>0.51487112665452706</v>
      </c>
      <c r="DN18" s="88">
        <v>-0.49546801483029912</v>
      </c>
      <c r="DO18" s="88">
        <v>-0.62369161424739861</v>
      </c>
      <c r="DP18" s="88">
        <v>-0.3090064819306062</v>
      </c>
      <c r="DQ18" s="88">
        <v>-0.16864771419003224</v>
      </c>
      <c r="DR18" s="88">
        <v>-0.95501512598689475</v>
      </c>
      <c r="DS18" s="89">
        <v>0.80748357789115099</v>
      </c>
      <c r="DT18" s="89">
        <v>0.2259265115833046</v>
      </c>
      <c r="DU18" s="89">
        <v>1.192690294338991</v>
      </c>
      <c r="DV18" s="89">
        <v>-0.31340623253561456</v>
      </c>
      <c r="DW18" s="89">
        <v>-0.42118682053691076</v>
      </c>
      <c r="DX18" s="89">
        <v>5.0363660747344538E-2</v>
      </c>
      <c r="DY18" s="89">
        <v>0.17165255313426175</v>
      </c>
      <c r="DZ18" s="89">
        <v>3.0532194954188845E-2</v>
      </c>
      <c r="EA18" s="89">
        <v>-0.41420558951772052</v>
      </c>
      <c r="EB18" s="89">
        <v>-0.41402675484860507</v>
      </c>
      <c r="EC18" s="89">
        <v>-0.31354564663551854</v>
      </c>
      <c r="ED18" s="89">
        <v>-0.53804627932984317</v>
      </c>
      <c r="EE18" s="89">
        <v>-0.61097489482809286</v>
      </c>
      <c r="EF18" s="89">
        <v>-7.3043132996633134E-2</v>
      </c>
      <c r="EG18" s="89">
        <v>2.340350661521601</v>
      </c>
      <c r="EH18" s="89">
        <v>2.2578078168550046</v>
      </c>
      <c r="EI18" s="89">
        <v>2.1837862361174625</v>
      </c>
      <c r="EJ18" s="89">
        <v>1.8598303554491726</v>
      </c>
      <c r="EK18" s="89">
        <v>-0.29113111098767758</v>
      </c>
      <c r="EL18" s="89">
        <v>0.41795033585026725</v>
      </c>
      <c r="EM18" s="89">
        <v>-0.46487888691348556</v>
      </c>
      <c r="EN18" s="89">
        <v>-0.53608786121561136</v>
      </c>
      <c r="EO18" s="89">
        <v>-0.37083039577379129</v>
      </c>
      <c r="EP18" s="89">
        <v>-0.11432148771010633</v>
      </c>
      <c r="EQ18" s="89">
        <v>-0.39664985859825647</v>
      </c>
      <c r="ER18" s="89">
        <v>0.96126224541413174</v>
      </c>
    </row>
    <row r="19" spans="1:148" x14ac:dyDescent="0.25">
      <c r="A19" s="87">
        <v>570</v>
      </c>
      <c r="B19" s="87">
        <v>1.2637266954090287</v>
      </c>
      <c r="C19" s="87">
        <v>-0.50605482348470854</v>
      </c>
      <c r="D19" s="87">
        <v>-0.7907607711651613</v>
      </c>
      <c r="E19" s="87">
        <v>0.70890908817715326</v>
      </c>
      <c r="F19" s="87">
        <v>0.22779879378945972</v>
      </c>
      <c r="G19" s="87">
        <v>-0.67888178817427491</v>
      </c>
      <c r="H19" s="87">
        <v>-0.68899044205929438</v>
      </c>
      <c r="I19" s="87">
        <v>-1.2817089665410193</v>
      </c>
      <c r="J19" s="87">
        <v>0.87411341274685439</v>
      </c>
      <c r="K19" s="87">
        <v>-1.4136490290529731</v>
      </c>
      <c r="L19" s="87">
        <v>2.1021715534172083</v>
      </c>
      <c r="M19" s="87">
        <v>0.22650762755824122</v>
      </c>
      <c r="N19" s="87">
        <v>570</v>
      </c>
      <c r="O19" s="87">
        <v>-0.102232486</v>
      </c>
      <c r="P19" s="87">
        <v>3.9509640000000004E-3</v>
      </c>
      <c r="Q19" s="87">
        <v>-0.26572797399999998</v>
      </c>
      <c r="R19" s="87">
        <v>-0.106103559</v>
      </c>
      <c r="S19" s="87">
        <v>-0.285088126</v>
      </c>
      <c r="T19" s="87">
        <v>1.4161752999999999E-2</v>
      </c>
      <c r="U19" s="87">
        <v>-2.2699510000000001E-3</v>
      </c>
      <c r="V19" s="87">
        <v>-0.96545369400000003</v>
      </c>
      <c r="W19" s="87">
        <v>-0.97940689700000005</v>
      </c>
      <c r="X19" s="87">
        <v>-0.31564774899999998</v>
      </c>
      <c r="Y19" s="87">
        <v>-5.6843966000000003E-2</v>
      </c>
      <c r="Z19" s="88">
        <v>-7.9871860000000003E-3</v>
      </c>
      <c r="AA19" s="88">
        <v>-0.81661059000000003</v>
      </c>
      <c r="AB19" s="88">
        <v>-0.46876290399999998</v>
      </c>
      <c r="AC19" s="88">
        <v>-0.92986723500000001</v>
      </c>
      <c r="AD19" s="88">
        <v>-0.845222955</v>
      </c>
      <c r="AE19" s="88">
        <v>-0.73613036399999998</v>
      </c>
      <c r="AF19" s="89">
        <v>4.2488946999999999E-2</v>
      </c>
      <c r="AG19" s="89">
        <v>8.0617004000000006E-2</v>
      </c>
      <c r="AH19" s="89">
        <v>0.90463314500000003</v>
      </c>
      <c r="AI19" s="89">
        <v>-0.29554840100000002</v>
      </c>
      <c r="AJ19" s="89">
        <v>-0.81979184299999996</v>
      </c>
      <c r="AK19" s="89">
        <v>-0.815495207</v>
      </c>
      <c r="AL19" s="89">
        <v>-0.85490622999999999</v>
      </c>
      <c r="AM19" s="89">
        <v>-0.91287401800000001</v>
      </c>
      <c r="AN19" s="89">
        <v>-0.86646517700000003</v>
      </c>
      <c r="AO19" s="90">
        <v>-0.165101413</v>
      </c>
      <c r="AP19" s="89">
        <v>-9.9185812999999998E-2</v>
      </c>
      <c r="AQ19" s="89">
        <v>-0.234964805</v>
      </c>
      <c r="AR19" s="89">
        <v>0.41359584300000002</v>
      </c>
      <c r="AS19" s="89">
        <v>3.0199939009999999</v>
      </c>
      <c r="AT19" s="89">
        <v>-0.60275752900000001</v>
      </c>
      <c r="AU19" s="89">
        <v>1.306812321</v>
      </c>
      <c r="AV19" s="89">
        <v>-0.13142266799999999</v>
      </c>
      <c r="AW19" s="89">
        <v>-9.1076722999999998E-2</v>
      </c>
      <c r="AX19" s="89">
        <v>-1.1032729999999999E-2</v>
      </c>
      <c r="AY19" s="89">
        <v>1.582560601</v>
      </c>
      <c r="AZ19" s="89">
        <v>-0.44482638200000002</v>
      </c>
      <c r="BA19" s="89">
        <v>-0.23739871300000001</v>
      </c>
      <c r="BB19" s="89">
        <v>-0.77678882299999996</v>
      </c>
      <c r="BC19" s="89">
        <v>-0.343859633</v>
      </c>
      <c r="BD19" s="89">
        <v>-0.37522434700000001</v>
      </c>
      <c r="BE19" s="89">
        <v>-0.37949624799999998</v>
      </c>
      <c r="BF19" s="89">
        <v>-0.27934541200000002</v>
      </c>
      <c r="BG19" s="89">
        <v>-0.377077</v>
      </c>
      <c r="BH19" s="89">
        <v>-0.26639387399999997</v>
      </c>
      <c r="BI19" s="89">
        <v>-0.103481219</v>
      </c>
      <c r="BJ19" s="89">
        <v>-0.23963988899999999</v>
      </c>
      <c r="BK19" s="89">
        <v>-0.23198830400000001</v>
      </c>
      <c r="BL19" s="89">
        <v>-0.11675445499999999</v>
      </c>
      <c r="BM19" s="89">
        <v>-7.3959955999999993E-2</v>
      </c>
      <c r="BN19" s="89">
        <v>-0.12772139099999999</v>
      </c>
      <c r="BO19" s="89">
        <v>-0.22182263999999999</v>
      </c>
      <c r="BP19" s="89">
        <v>-9.3406873000000001E-2</v>
      </c>
      <c r="BQ19" s="89">
        <v>-0.119037527</v>
      </c>
      <c r="BR19" s="89">
        <v>6.7111663000000002E-2</v>
      </c>
      <c r="BS19" s="89">
        <v>-0.20372632800000001</v>
      </c>
      <c r="BT19" s="89">
        <v>-0.15176703699999999</v>
      </c>
      <c r="BU19" s="89">
        <v>-0.1087525</v>
      </c>
      <c r="BV19" s="89">
        <v>-0.16942932199999999</v>
      </c>
      <c r="BW19" s="88">
        <v>5.0217123000000002E-2</v>
      </c>
      <c r="BX19" s="88">
        <v>4.3300771000000002E-2</v>
      </c>
      <c r="BY19" s="88">
        <v>5.1690288000000001E-2</v>
      </c>
      <c r="BZ19" s="88">
        <v>-9.1059956999999997E-2</v>
      </c>
      <c r="CA19" s="88">
        <v>-6.9998728999999996E-2</v>
      </c>
      <c r="CB19" s="88">
        <v>-8.2447508000000003E-2</v>
      </c>
      <c r="CC19" s="88">
        <v>0.72131630800000002</v>
      </c>
      <c r="CD19" s="88">
        <v>-5.517391E-2</v>
      </c>
      <c r="CE19" s="88">
        <v>-0.90831538175291704</v>
      </c>
      <c r="CF19" s="88">
        <v>-0.15229895089919954</v>
      </c>
      <c r="CG19" s="88">
        <v>-0.99457937398203333</v>
      </c>
      <c r="CH19" s="88">
        <v>-0.42571201617944238</v>
      </c>
      <c r="CI19" s="88">
        <v>-0.46067704378160962</v>
      </c>
      <c r="CJ19" s="88">
        <v>-0.95130078481306712</v>
      </c>
      <c r="CK19" s="88">
        <v>-0.26706469731426541</v>
      </c>
      <c r="CL19" s="88">
        <v>0.52052368530158721</v>
      </c>
      <c r="CM19" s="88">
        <v>-0.15248801967362535</v>
      </c>
      <c r="CN19" s="88">
        <v>-1.401707979924149</v>
      </c>
      <c r="CO19" s="88">
        <v>-1.4436232768560739</v>
      </c>
      <c r="CP19" s="88">
        <v>-0.71790800712850622</v>
      </c>
      <c r="CQ19" s="88">
        <v>1.8520012136502315</v>
      </c>
      <c r="CR19" s="88">
        <v>0.5713191020370636</v>
      </c>
      <c r="CS19" s="88">
        <v>-0.2248782981846402</v>
      </c>
      <c r="CT19" s="88">
        <v>1.9257032718969511</v>
      </c>
      <c r="CU19" s="88">
        <v>-0.51081655642909007</v>
      </c>
      <c r="CV19" s="88">
        <v>-0.22371352562665087</v>
      </c>
      <c r="CW19" s="88">
        <v>1.9158360127103764</v>
      </c>
      <c r="CX19" s="88">
        <v>-0.42416188954662321</v>
      </c>
      <c r="CY19" s="88">
        <v>-0.73620630565267442</v>
      </c>
      <c r="CZ19" s="88">
        <v>-0.29906606265845487</v>
      </c>
      <c r="DA19" s="88">
        <v>-0.80131246335612449</v>
      </c>
      <c r="DB19" s="88">
        <v>-0.26726206790092472</v>
      </c>
      <c r="DC19" s="88">
        <v>0.83930877028714979</v>
      </c>
      <c r="DD19" s="88">
        <v>2.1022810046329377</v>
      </c>
      <c r="DE19" s="88">
        <v>0.18232276086678234</v>
      </c>
      <c r="DF19" s="88">
        <v>-0.63904744991034901</v>
      </c>
      <c r="DG19" s="88">
        <v>-0.31383367973433907</v>
      </c>
      <c r="DH19" s="88">
        <v>0.17456241572483472</v>
      </c>
      <c r="DI19" s="88">
        <v>-0.55337985102841758</v>
      </c>
      <c r="DJ19" s="88">
        <v>-0.31470921079681691</v>
      </c>
      <c r="DK19" s="88">
        <v>-0.80347392302459664</v>
      </c>
      <c r="DL19" s="88">
        <v>-0.68830947167165002</v>
      </c>
      <c r="DM19" s="88">
        <v>-3.1643647211791505E-2</v>
      </c>
      <c r="DN19" s="88">
        <v>-0.48806348951662371</v>
      </c>
      <c r="DO19" s="88">
        <v>-0.65797536544893975</v>
      </c>
      <c r="DP19" s="88">
        <v>-0.55904351633860017</v>
      </c>
      <c r="DQ19" s="88">
        <v>7.3657372560757328E-2</v>
      </c>
      <c r="DR19" s="88">
        <v>-8.031968608559574E-2</v>
      </c>
      <c r="DS19" s="89">
        <v>0.42441069793241992</v>
      </c>
      <c r="DT19" s="89">
        <v>8.2321080416421999E-2</v>
      </c>
      <c r="DU19" s="89">
        <v>1.6517409090857398</v>
      </c>
      <c r="DV19" s="89">
        <v>-0.51444074065767775</v>
      </c>
      <c r="DW19" s="89">
        <v>-0.54735965797400199</v>
      </c>
      <c r="DX19" s="89">
        <v>4.6683418127431375E-2</v>
      </c>
      <c r="DY19" s="89">
        <v>-0.31002889622546026</v>
      </c>
      <c r="DZ19" s="89">
        <v>-0.54645449113235334</v>
      </c>
      <c r="EA19" s="89">
        <v>-0.53866884283060501</v>
      </c>
      <c r="EB19" s="89">
        <v>-0.41402842173095555</v>
      </c>
      <c r="EC19" s="89">
        <v>-0.45890738634763234</v>
      </c>
      <c r="ED19" s="89">
        <v>-0.45992963508340468</v>
      </c>
      <c r="EE19" s="89">
        <v>-0.55062877232408669</v>
      </c>
      <c r="EF19" s="89">
        <v>-0.46659425910784202</v>
      </c>
      <c r="EG19" s="89">
        <v>1.6381281498304829</v>
      </c>
      <c r="EH19" s="89">
        <v>1.8099991268422917</v>
      </c>
      <c r="EI19" s="89">
        <v>1.4851676571897876</v>
      </c>
      <c r="EJ19" s="89">
        <v>1.2931298728038041</v>
      </c>
      <c r="EK19" s="89">
        <v>-0.29476785381616555</v>
      </c>
      <c r="EL19" s="89">
        <v>1.4297796439457129</v>
      </c>
      <c r="EM19" s="89">
        <v>-0.54315388775970075</v>
      </c>
      <c r="EN19" s="89">
        <v>-0.62552804166514386</v>
      </c>
      <c r="EO19" s="89">
        <v>-0.62998556155138608</v>
      </c>
      <c r="EP19" s="89">
        <v>-0.44485924229804946</v>
      </c>
      <c r="EQ19" s="89">
        <v>-0.39424344811033712</v>
      </c>
      <c r="ER19" s="89">
        <v>0.45385600022938805</v>
      </c>
    </row>
    <row r="20" spans="1:148" x14ac:dyDescent="0.25">
      <c r="A20" s="87">
        <v>580</v>
      </c>
      <c r="B20" s="87">
        <v>-1.0349953007536365</v>
      </c>
      <c r="C20" s="87">
        <v>4.134767296995967E-2</v>
      </c>
      <c r="D20" s="87">
        <v>-0.94341034970480353</v>
      </c>
      <c r="E20" s="87">
        <v>1.8812537583285813</v>
      </c>
      <c r="F20" s="87">
        <v>0.23131036147094816</v>
      </c>
      <c r="G20" s="87">
        <v>1.1351203902291689</v>
      </c>
      <c r="H20" s="87">
        <v>-1.5286683554049416</v>
      </c>
      <c r="I20" s="87">
        <v>-0.61181681964497547</v>
      </c>
      <c r="J20" s="87">
        <v>-0.90835600134707384</v>
      </c>
      <c r="K20" s="87">
        <v>0.64175471846842003</v>
      </c>
      <c r="L20" s="87">
        <v>1.964322369272206</v>
      </c>
      <c r="M20" s="87">
        <v>2.6721588693829044</v>
      </c>
      <c r="N20" s="87">
        <v>580</v>
      </c>
      <c r="O20" s="87">
        <v>-8.6281674000000003E-2</v>
      </c>
      <c r="P20" s="87">
        <v>0.71240682700000002</v>
      </c>
      <c r="Q20" s="87">
        <v>-0.26064115500000001</v>
      </c>
      <c r="R20" s="87">
        <v>-0.208572645</v>
      </c>
      <c r="S20" s="87">
        <v>-0.12526483499999999</v>
      </c>
      <c r="T20" s="87">
        <v>-2.0126655E-2</v>
      </c>
      <c r="U20" s="87">
        <v>-3.4351706000000003E-2</v>
      </c>
      <c r="V20" s="87">
        <v>-0.95923027299999997</v>
      </c>
      <c r="W20" s="87">
        <v>-1.2126575989999999</v>
      </c>
      <c r="X20" s="87">
        <v>-0.29700190999999998</v>
      </c>
      <c r="Y20" s="87">
        <v>-0.114520129</v>
      </c>
      <c r="Z20" s="88">
        <v>-0.15606479000000001</v>
      </c>
      <c r="AA20" s="88">
        <v>-0.80717359099999997</v>
      </c>
      <c r="AB20" s="88">
        <v>-0.60453582299999997</v>
      </c>
      <c r="AC20" s="88">
        <v>-0.90803526499999998</v>
      </c>
      <c r="AD20" s="88">
        <v>-0.81607917500000005</v>
      </c>
      <c r="AE20" s="88">
        <v>-0.68535052500000004</v>
      </c>
      <c r="AF20" s="89">
        <v>-7.4658110000000001E-3</v>
      </c>
      <c r="AG20" s="89">
        <v>-2.7161653000000001E-2</v>
      </c>
      <c r="AH20" s="89">
        <v>1.9764920939999999</v>
      </c>
      <c r="AI20" s="89">
        <v>-0.32036368100000001</v>
      </c>
      <c r="AJ20" s="89">
        <v>-0.73264049200000003</v>
      </c>
      <c r="AK20" s="89">
        <v>-0.79256576899999998</v>
      </c>
      <c r="AL20" s="89">
        <v>-0.75322626000000004</v>
      </c>
      <c r="AM20" s="89">
        <v>-0.80607412899999997</v>
      </c>
      <c r="AN20" s="89">
        <v>-0.78630015399999997</v>
      </c>
      <c r="AO20" s="90">
        <v>-0.200751861</v>
      </c>
      <c r="AP20" s="89">
        <v>-0.12517927700000001</v>
      </c>
      <c r="AQ20" s="89">
        <v>-6.1178174000000002E-2</v>
      </c>
      <c r="AR20" s="89">
        <v>-0.339041068</v>
      </c>
      <c r="AS20" s="89">
        <v>3.4495956410000002</v>
      </c>
      <c r="AT20" s="89">
        <v>-0.72576860799999998</v>
      </c>
      <c r="AU20" s="89">
        <v>2.895385546</v>
      </c>
      <c r="AV20" s="89">
        <v>-0.17007225000000001</v>
      </c>
      <c r="AW20" s="89">
        <v>-9.1076722999999998E-2</v>
      </c>
      <c r="AX20" s="89">
        <v>-1.1772516E-2</v>
      </c>
      <c r="AY20" s="89">
        <v>1.6482883349999999</v>
      </c>
      <c r="AZ20" s="89">
        <v>-0.43274386100000001</v>
      </c>
      <c r="BA20" s="89">
        <v>-0.26332874499999998</v>
      </c>
      <c r="BB20" s="89">
        <v>-0.83679889500000004</v>
      </c>
      <c r="BC20" s="89">
        <v>-0.16889511400000001</v>
      </c>
      <c r="BD20" s="89">
        <v>-0.24632685900000001</v>
      </c>
      <c r="BE20" s="89">
        <v>-0.234368614</v>
      </c>
      <c r="BF20" s="89">
        <v>-0.25463104800000003</v>
      </c>
      <c r="BG20" s="89">
        <v>-0.282171799</v>
      </c>
      <c r="BH20" s="89">
        <v>-0.23311047800000001</v>
      </c>
      <c r="BI20" s="89">
        <v>-0.154806256</v>
      </c>
      <c r="BJ20" s="89">
        <v>-0.32857805899999998</v>
      </c>
      <c r="BK20" s="89">
        <v>-0.30344284399999999</v>
      </c>
      <c r="BL20" s="89">
        <v>-9.9188821999999996E-2</v>
      </c>
      <c r="BM20" s="89">
        <v>-6.8347848000000003E-2</v>
      </c>
      <c r="BN20" s="89">
        <v>-0.114292349</v>
      </c>
      <c r="BO20" s="89">
        <v>-0.203561028</v>
      </c>
      <c r="BP20" s="89">
        <v>-5.4639326000000002E-2</v>
      </c>
      <c r="BQ20" s="89">
        <v>-0.106952563</v>
      </c>
      <c r="BR20" s="89">
        <v>-5.8251799999999999E-2</v>
      </c>
      <c r="BS20" s="89">
        <v>-0.123938438</v>
      </c>
      <c r="BT20" s="89">
        <v>-0.13835656700000001</v>
      </c>
      <c r="BU20" s="89">
        <v>-7.2177717000000002E-2</v>
      </c>
      <c r="BV20" s="89">
        <v>-9.8384620000000006E-2</v>
      </c>
      <c r="BW20" s="88">
        <v>-9.5777581000000001E-2</v>
      </c>
      <c r="BX20" s="88">
        <v>-9.4430293999999998E-2</v>
      </c>
      <c r="BY20" s="88">
        <v>-1.8915786E-2</v>
      </c>
      <c r="BZ20" s="88">
        <v>-4.9984075000000003E-2</v>
      </c>
      <c r="CA20" s="88">
        <v>-7.2022032999999999E-2</v>
      </c>
      <c r="CB20" s="88">
        <v>-9.4586856999999996E-2</v>
      </c>
      <c r="CC20" s="88">
        <v>0.38134731900000002</v>
      </c>
      <c r="CD20" s="88">
        <v>-5.5173925999999998E-2</v>
      </c>
      <c r="CE20" s="88">
        <v>-0.96570643289879388</v>
      </c>
      <c r="CF20" s="88">
        <v>-0.36268189228296593</v>
      </c>
      <c r="CG20" s="88">
        <v>-2.137240645079614</v>
      </c>
      <c r="CH20" s="88">
        <v>-0.88706871797644016</v>
      </c>
      <c r="CI20" s="88">
        <v>-0.49086697396642937</v>
      </c>
      <c r="CJ20" s="88">
        <v>-0.69782305463463312</v>
      </c>
      <c r="CK20" s="88">
        <v>-0.56692529605900466</v>
      </c>
      <c r="CL20" s="88">
        <v>-0.13412700554002491</v>
      </c>
      <c r="CM20" s="88">
        <v>0.79564063809542296</v>
      </c>
      <c r="CN20" s="88">
        <v>-1.1245200980572749</v>
      </c>
      <c r="CO20" s="88">
        <v>-1.3007958065844163</v>
      </c>
      <c r="CP20" s="88">
        <v>-0.84940677969753986</v>
      </c>
      <c r="CQ20" s="88">
        <v>1.6155364813575153</v>
      </c>
      <c r="CR20" s="88">
        <v>0.7014698478351844</v>
      </c>
      <c r="CS20" s="88">
        <v>-1.0676014419517863</v>
      </c>
      <c r="CT20" s="88">
        <v>2.5788990764178124</v>
      </c>
      <c r="CU20" s="88">
        <v>-0.77007892694894819</v>
      </c>
      <c r="CV20" s="88">
        <v>-0.66811826642740513</v>
      </c>
      <c r="CW20" s="88">
        <v>1.1169359427459189</v>
      </c>
      <c r="CX20" s="88">
        <v>-0.71584082258299364</v>
      </c>
      <c r="CY20" s="88">
        <v>-0.87591427362547791</v>
      </c>
      <c r="CZ20" s="88">
        <v>-0.31813512817439282</v>
      </c>
      <c r="DA20" s="88">
        <v>-0.83823374836801001</v>
      </c>
      <c r="DB20" s="88">
        <v>-0.53727905263267495</v>
      </c>
      <c r="DC20" s="88">
        <v>0.84860493861081476</v>
      </c>
      <c r="DD20" s="88">
        <v>2.6274680231001786</v>
      </c>
      <c r="DE20" s="88">
        <v>0.24014014753582064</v>
      </c>
      <c r="DF20" s="88">
        <v>0.58225327252115611</v>
      </c>
      <c r="DG20" s="88">
        <v>-0.53170719034761138</v>
      </c>
      <c r="DH20" s="88">
        <v>7.1607380535445533E-2</v>
      </c>
      <c r="DI20" s="88">
        <v>-0.44647739529573138</v>
      </c>
      <c r="DJ20" s="88">
        <v>-0.23964092716789751</v>
      </c>
      <c r="DK20" s="88">
        <v>-0.79790259162167421</v>
      </c>
      <c r="DL20" s="88">
        <v>-0.66908108243438613</v>
      </c>
      <c r="DM20" s="88">
        <v>-0.44948379823730678</v>
      </c>
      <c r="DN20" s="88">
        <v>-0.50008735488631328</v>
      </c>
      <c r="DO20" s="88">
        <v>-0.84118851883822954</v>
      </c>
      <c r="DP20" s="88">
        <v>-0.79673893317483779</v>
      </c>
      <c r="DQ20" s="88">
        <v>-3.065502369094892E-2</v>
      </c>
      <c r="DR20" s="88">
        <v>2.3232621716679194E-3</v>
      </c>
      <c r="DS20" s="89">
        <v>-5.2297417965848927E-2</v>
      </c>
      <c r="DT20" s="89">
        <v>-0.36508756561362332</v>
      </c>
      <c r="DU20" s="89">
        <v>2.0685580862669681</v>
      </c>
      <c r="DV20" s="89">
        <v>-0.52131341393120412</v>
      </c>
      <c r="DW20" s="89">
        <v>-0.55450844238014241</v>
      </c>
      <c r="DX20" s="89">
        <v>-0.17529993612012126</v>
      </c>
      <c r="DY20" s="89">
        <v>-0.9204642677407483</v>
      </c>
      <c r="DZ20" s="89">
        <v>-0.77658787476619162</v>
      </c>
      <c r="EA20" s="89">
        <v>-0.66252775444222689</v>
      </c>
      <c r="EB20" s="89">
        <v>-0.58071499409484539</v>
      </c>
      <c r="EC20" s="89">
        <v>-0.49118331093722822</v>
      </c>
      <c r="ED20" s="89">
        <v>-0.32744778898838567</v>
      </c>
      <c r="EE20" s="89">
        <v>-0.59075193944917403</v>
      </c>
      <c r="EF20" s="89">
        <v>-0.79789631808014716</v>
      </c>
      <c r="EG20" s="89">
        <v>0.65492867391650045</v>
      </c>
      <c r="EH20" s="89">
        <v>1.1451562772168842</v>
      </c>
      <c r="EI20" s="89">
        <v>0.47938953927680211</v>
      </c>
      <c r="EJ20" s="89">
        <v>0.66102484389645499</v>
      </c>
      <c r="EK20" s="89">
        <v>-0.68857112298140011</v>
      </c>
      <c r="EL20" s="89">
        <v>2.3622440278162493</v>
      </c>
      <c r="EM20" s="89">
        <v>-0.67370502060566251</v>
      </c>
      <c r="EN20" s="89">
        <v>-0.80572676687065237</v>
      </c>
      <c r="EO20" s="89">
        <v>-0.8390066794093316</v>
      </c>
      <c r="EP20" s="89">
        <v>-0.7236634897258768</v>
      </c>
      <c r="EQ20" s="89">
        <v>-0.39422433745512525</v>
      </c>
      <c r="ER20" s="89">
        <v>-5.4602295988251844E-2</v>
      </c>
    </row>
    <row r="21" spans="1:148" x14ac:dyDescent="0.25">
      <c r="A21" s="87">
        <v>590</v>
      </c>
      <c r="B21" s="87">
        <v>-1.1145664467746517</v>
      </c>
      <c r="C21" s="87">
        <v>-0.84170491390341451</v>
      </c>
      <c r="D21" s="87">
        <v>-0.98944752418501292</v>
      </c>
      <c r="E21" s="87">
        <v>1.5670442634006085</v>
      </c>
      <c r="F21" s="87">
        <v>0.6035365357087229</v>
      </c>
      <c r="G21" s="87">
        <v>0.75194880709047363</v>
      </c>
      <c r="H21" s="87">
        <v>-1.1484004268323154</v>
      </c>
      <c r="I21" s="87">
        <v>-0.13033183906344403</v>
      </c>
      <c r="J21" s="87">
        <v>-0.16086882769478136</v>
      </c>
      <c r="K21" s="87">
        <v>1.9658171325694103</v>
      </c>
      <c r="L21" s="87">
        <v>0.45858512707295179</v>
      </c>
      <c r="M21" s="87">
        <v>0.13955113896003096</v>
      </c>
      <c r="N21" s="87">
        <v>590</v>
      </c>
      <c r="O21" s="87">
        <v>-0.104903257</v>
      </c>
      <c r="P21" s="87">
        <v>1.282218173</v>
      </c>
      <c r="Q21" s="87">
        <v>-0.278647268</v>
      </c>
      <c r="R21" s="87">
        <v>-0.22605652600000001</v>
      </c>
      <c r="S21" s="87">
        <v>0.16555591</v>
      </c>
      <c r="T21" s="87">
        <v>-0.116331451</v>
      </c>
      <c r="U21" s="87">
        <v>-7.3728479E-2</v>
      </c>
      <c r="V21" s="87">
        <v>-0.62870552000000002</v>
      </c>
      <c r="W21" s="87">
        <v>-1.350032519</v>
      </c>
      <c r="X21" s="87">
        <v>-0.41719246799999998</v>
      </c>
      <c r="Y21" s="87">
        <v>-6.3864890999999993E-2</v>
      </c>
      <c r="Z21" s="88">
        <v>-0.112568275</v>
      </c>
      <c r="AA21" s="88">
        <v>-0.58551793900000004</v>
      </c>
      <c r="AB21" s="88">
        <v>-0.55441089600000004</v>
      </c>
      <c r="AC21" s="88">
        <v>-0.65949454900000004</v>
      </c>
      <c r="AD21" s="88">
        <v>-0.62093812299999995</v>
      </c>
      <c r="AE21" s="88">
        <v>-0.56005928400000005</v>
      </c>
      <c r="AF21" s="89">
        <v>-8.1620838000000001E-2</v>
      </c>
      <c r="AG21" s="89">
        <v>-7.9789008999999994E-2</v>
      </c>
      <c r="AH21" s="89">
        <v>2.4596208879999999</v>
      </c>
      <c r="AI21" s="89">
        <v>-0.22363797699999999</v>
      </c>
      <c r="AJ21" s="89">
        <v>-0.61906104100000003</v>
      </c>
      <c r="AK21" s="89">
        <v>-0.69698064299999996</v>
      </c>
      <c r="AL21" s="89">
        <v>-0.66359898699999997</v>
      </c>
      <c r="AM21" s="89">
        <v>-0.65453220000000001</v>
      </c>
      <c r="AN21" s="89">
        <v>-0.67112693499999998</v>
      </c>
      <c r="AO21" s="90">
        <v>-0.30905829299999998</v>
      </c>
      <c r="AP21" s="89">
        <v>-8.7232063999999998E-2</v>
      </c>
      <c r="AQ21" s="89">
        <v>-6.1251969999999998E-3</v>
      </c>
      <c r="AR21" s="89">
        <v>-1.017527316</v>
      </c>
      <c r="AS21" s="89">
        <v>0.80311683099999998</v>
      </c>
      <c r="AT21" s="89">
        <v>-0.84192972700000002</v>
      </c>
      <c r="AU21" s="89">
        <v>2.3148983310000002</v>
      </c>
      <c r="AV21" s="89">
        <v>-0.177793225</v>
      </c>
      <c r="AW21" s="89">
        <v>-9.1076722999999998E-2</v>
      </c>
      <c r="AX21" s="89">
        <v>-3.0615547999999999E-2</v>
      </c>
      <c r="AY21" s="89">
        <v>1.564121128</v>
      </c>
      <c r="AZ21" s="89">
        <v>-0.3471533</v>
      </c>
      <c r="BA21" s="89">
        <v>-5.7159021999999997E-2</v>
      </c>
      <c r="BB21" s="89">
        <v>-0.84065424</v>
      </c>
      <c r="BC21" s="89">
        <v>-0.110582193</v>
      </c>
      <c r="BD21" s="89">
        <v>-0.17164797500000001</v>
      </c>
      <c r="BE21" s="89">
        <v>-4.9340931999999997E-2</v>
      </c>
      <c r="BF21" s="89">
        <v>-0.23167137500000001</v>
      </c>
      <c r="BG21" s="89">
        <v>-0.13331633800000001</v>
      </c>
      <c r="BH21" s="89">
        <v>-0.23600468599999999</v>
      </c>
      <c r="BI21" s="89">
        <v>-0.19394247100000001</v>
      </c>
      <c r="BJ21" s="89">
        <v>-0.44965556400000001</v>
      </c>
      <c r="BK21" s="89">
        <v>-0.480851154</v>
      </c>
      <c r="BL21" s="89">
        <v>-7.8563864999999997E-2</v>
      </c>
      <c r="BM21" s="89">
        <v>4.9103049000000003E-2</v>
      </c>
      <c r="BN21" s="89">
        <v>-0.11193689499999999</v>
      </c>
      <c r="BO21" s="89">
        <v>-0.18942527300000001</v>
      </c>
      <c r="BP21" s="89">
        <v>-3.6538491999999999E-2</v>
      </c>
      <c r="BQ21" s="89">
        <v>-9.8949499999999996E-2</v>
      </c>
      <c r="BR21" s="89">
        <v>-0.11247170099999999</v>
      </c>
      <c r="BS21" s="89">
        <v>4.0686306999999998E-2</v>
      </c>
      <c r="BT21" s="89">
        <v>-3.9534075000000002E-2</v>
      </c>
      <c r="BU21" s="89">
        <v>-4.6640876999999997E-2</v>
      </c>
      <c r="BV21" s="89">
        <v>0.11273380199999999</v>
      </c>
      <c r="BW21" s="88">
        <v>-0.16925098099999999</v>
      </c>
      <c r="BX21" s="88">
        <v>-0.16300748100000001</v>
      </c>
      <c r="BY21" s="88">
        <v>-3.5257134000000002E-2</v>
      </c>
      <c r="BZ21" s="88">
        <v>-0.14944790799999999</v>
      </c>
      <c r="CA21" s="88">
        <v>-6.0656658000000002E-2</v>
      </c>
      <c r="CB21" s="88">
        <v>-0.101093313</v>
      </c>
      <c r="CC21" s="88">
        <v>0.259100777</v>
      </c>
      <c r="CD21" s="88">
        <v>-5.2849092E-2</v>
      </c>
      <c r="CE21" s="88">
        <v>-1.0697846655734524</v>
      </c>
      <c r="CF21" s="88">
        <v>-0.54273915020528196</v>
      </c>
      <c r="CG21" s="88">
        <v>-1.5423619602895446</v>
      </c>
      <c r="CH21" s="88">
        <v>-1.0729284926209681</v>
      </c>
      <c r="CI21" s="88">
        <v>-0.49707743401155846</v>
      </c>
      <c r="CJ21" s="88">
        <v>-0.66888719965485055</v>
      </c>
      <c r="CK21" s="88">
        <v>-0.88122896401011874</v>
      </c>
      <c r="CL21" s="88">
        <v>-0.66367652972044522</v>
      </c>
      <c r="CM21" s="88">
        <v>-0.57653016670639357</v>
      </c>
      <c r="CN21" s="88">
        <v>-0.64442343992186402</v>
      </c>
      <c r="CO21" s="88">
        <v>-0.96390243983120183</v>
      </c>
      <c r="CP21" s="88">
        <v>-1.0288043889344498</v>
      </c>
      <c r="CQ21" s="88">
        <v>0.9997240998231266</v>
      </c>
      <c r="CR21" s="88">
        <v>-0.52757214373974914</v>
      </c>
      <c r="CS21" s="88">
        <v>-1.3499957923551886</v>
      </c>
      <c r="CT21" s="88">
        <v>2.4327539891144916</v>
      </c>
      <c r="CU21" s="88">
        <v>-0.97997255437232533</v>
      </c>
      <c r="CV21" s="88">
        <v>-0.55439260310374872</v>
      </c>
      <c r="CW21" s="88">
        <v>0.19890188522238489</v>
      </c>
      <c r="CX21" s="88">
        <v>-0.66777216887876001</v>
      </c>
      <c r="CY21" s="88">
        <v>-0.99776978845316855</v>
      </c>
      <c r="CZ21" s="88">
        <v>-0.34705905278663446</v>
      </c>
      <c r="DA21" s="88">
        <v>-0.76828435326919287</v>
      </c>
      <c r="DB21" s="88">
        <v>-1.1554819705610779</v>
      </c>
      <c r="DC21" s="88">
        <v>0.73447808938800185</v>
      </c>
      <c r="DD21" s="88">
        <v>2.3818998776275606</v>
      </c>
      <c r="DE21" s="88">
        <v>-0.63827602513290871</v>
      </c>
      <c r="DF21" s="88">
        <v>-8.9483072064190219E-2</v>
      </c>
      <c r="DG21" s="88">
        <v>-0.31943676692739803</v>
      </c>
      <c r="DH21" s="88">
        <v>-1.0100347391125277</v>
      </c>
      <c r="DI21" s="88">
        <v>3.1438586747865947E-2</v>
      </c>
      <c r="DJ21" s="88">
        <v>-0.76908869923672696</v>
      </c>
      <c r="DK21" s="88">
        <v>-0.89962610351301031</v>
      </c>
      <c r="DL21" s="88">
        <v>-0.84524013407234455</v>
      </c>
      <c r="DM21" s="88">
        <v>-0.66577277565458559</v>
      </c>
      <c r="DN21" s="88">
        <v>-0.4993495087226103</v>
      </c>
      <c r="DO21" s="88">
        <v>-0.54007334398484919</v>
      </c>
      <c r="DP21" s="88">
        <v>-0.5470018170542903</v>
      </c>
      <c r="DQ21" s="88">
        <v>-0.71186101473754626</v>
      </c>
      <c r="DR21" s="88">
        <v>-0.28235657129750663</v>
      </c>
      <c r="DS21" s="89">
        <v>-0.48496906752368135</v>
      </c>
      <c r="DT21" s="89">
        <v>-1.2523305655675387</v>
      </c>
      <c r="DU21" s="89">
        <v>1.4350116215834428</v>
      </c>
      <c r="DV21" s="89">
        <v>-0.64935931773071631</v>
      </c>
      <c r="DW21" s="89">
        <v>-0.55495568686815477</v>
      </c>
      <c r="DX21" s="89">
        <v>-0.52434236739872619</v>
      </c>
      <c r="DY21" s="89">
        <v>-1.1120447324251024</v>
      </c>
      <c r="DZ21" s="89">
        <v>-0.62955874102620701</v>
      </c>
      <c r="EA21" s="89">
        <v>-0.68351599327128276</v>
      </c>
      <c r="EB21" s="89">
        <v>-0.58071832769296505</v>
      </c>
      <c r="EC21" s="89">
        <v>-0.63642243970266876</v>
      </c>
      <c r="ED21" s="89">
        <v>-0.36187575466017519</v>
      </c>
      <c r="EE21" s="89">
        <v>-0.75785582348083025</v>
      </c>
      <c r="EF21" s="89">
        <v>-1.0386286844004231</v>
      </c>
      <c r="EG21" s="89">
        <v>-0.21017684470046577</v>
      </c>
      <c r="EH21" s="89">
        <v>0.35158072917812766</v>
      </c>
      <c r="EI21" s="89">
        <v>-0.31623955286571037</v>
      </c>
      <c r="EJ21" s="89">
        <v>-4.2284808024888869E-2</v>
      </c>
      <c r="EK21" s="89">
        <v>-0.62497768970424905</v>
      </c>
      <c r="EL21" s="89">
        <v>2.5715642141627391</v>
      </c>
      <c r="EM21" s="89">
        <v>-0.81836475120495666</v>
      </c>
      <c r="EN21" s="89">
        <v>-0.70088212927023108</v>
      </c>
      <c r="EO21" s="89">
        <v>-0.977965714214449</v>
      </c>
      <c r="EP21" s="89">
        <v>-0.91570729119698879</v>
      </c>
      <c r="EQ21" s="89">
        <v>-0.64146348617179638</v>
      </c>
      <c r="ER21" s="89">
        <v>-0.45932056424937362</v>
      </c>
    </row>
    <row r="22" spans="1:148" x14ac:dyDescent="0.25">
      <c r="A22" s="87">
        <v>600</v>
      </c>
      <c r="B22" s="87">
        <v>-0.96072889780068871</v>
      </c>
      <c r="C22" s="87">
        <v>-0.98812944999211172</v>
      </c>
      <c r="D22" s="87">
        <v>-1.1396740935414862</v>
      </c>
      <c r="E22" s="87">
        <v>1.4719892901450873</v>
      </c>
      <c r="F22" s="87">
        <v>0.86690411182035598</v>
      </c>
      <c r="G22" s="87">
        <v>0.30087339909175631</v>
      </c>
      <c r="H22" s="87">
        <v>-1.0248616073975532</v>
      </c>
      <c r="I22" s="87">
        <v>-5.124734949932775E-2</v>
      </c>
      <c r="J22" s="87">
        <v>6.2492724195400709E-2</v>
      </c>
      <c r="K22" s="87">
        <v>2.0207872327938197</v>
      </c>
      <c r="L22" s="87">
        <v>0.10512568054730519</v>
      </c>
      <c r="M22" s="87">
        <v>-0.77349199132117652</v>
      </c>
      <c r="N22" s="87">
        <v>600</v>
      </c>
      <c r="O22" s="87">
        <v>-0.15688272</v>
      </c>
      <c r="P22" s="87">
        <v>1.9646226870000001</v>
      </c>
      <c r="Q22" s="87">
        <v>-0.42470934399999999</v>
      </c>
      <c r="R22" s="87">
        <v>-0.103760413</v>
      </c>
      <c r="S22" s="87">
        <v>0.145310991</v>
      </c>
      <c r="T22" s="87">
        <v>-0.145441717</v>
      </c>
      <c r="U22" s="87">
        <v>-0.10678207100000001</v>
      </c>
      <c r="V22" s="87">
        <v>0.16132660500000001</v>
      </c>
      <c r="W22" s="87">
        <v>-1.0247492920000001</v>
      </c>
      <c r="X22" s="87">
        <v>-0.455502034</v>
      </c>
      <c r="Y22" s="87">
        <v>7.9851985E-2</v>
      </c>
      <c r="Z22" s="88">
        <v>-0.32070065800000003</v>
      </c>
      <c r="AA22" s="88">
        <v>-0.50929725199999998</v>
      </c>
      <c r="AB22" s="88">
        <v>-0.47783073999999998</v>
      </c>
      <c r="AC22" s="88">
        <v>-0.54998549699999999</v>
      </c>
      <c r="AD22" s="88">
        <v>-0.54597550500000003</v>
      </c>
      <c r="AE22" s="88">
        <v>-0.52519468700000005</v>
      </c>
      <c r="AF22" s="89">
        <v>-0.10743623400000001</v>
      </c>
      <c r="AG22" s="89">
        <v>-0.13453633100000001</v>
      </c>
      <c r="AH22" s="89">
        <v>1.740191271</v>
      </c>
      <c r="AI22" s="89">
        <v>-0.39106041400000002</v>
      </c>
      <c r="AJ22" s="89">
        <v>-0.679899692</v>
      </c>
      <c r="AK22" s="89">
        <v>-0.70345638300000002</v>
      </c>
      <c r="AL22" s="89">
        <v>-0.66565582700000003</v>
      </c>
      <c r="AM22" s="89">
        <v>-0.60997789300000005</v>
      </c>
      <c r="AN22" s="89">
        <v>-0.67356912499999999</v>
      </c>
      <c r="AO22" s="90">
        <v>-0.45222701900000001</v>
      </c>
      <c r="AP22" s="89">
        <v>-0.114377861</v>
      </c>
      <c r="AQ22" s="89">
        <v>-0.222656199</v>
      </c>
      <c r="AR22" s="89">
        <v>-1.2677914749999999</v>
      </c>
      <c r="AS22" s="89">
        <v>8.547167E-2</v>
      </c>
      <c r="AT22" s="89">
        <v>-0.82706038100000001</v>
      </c>
      <c r="AU22" s="89">
        <v>0.79599450800000005</v>
      </c>
      <c r="AV22" s="89">
        <v>-3.0939775999999999E-2</v>
      </c>
      <c r="AW22" s="89">
        <v>-9.1076722999999998E-2</v>
      </c>
      <c r="AX22" s="89">
        <v>-7.2840667999999997E-2</v>
      </c>
      <c r="AY22" s="89">
        <v>1.2933260209999999</v>
      </c>
      <c r="AZ22" s="89">
        <v>-0.35964665499999998</v>
      </c>
      <c r="BA22" s="89">
        <v>-0.45164260000000001</v>
      </c>
      <c r="BB22" s="89">
        <v>-0.98420806000000005</v>
      </c>
      <c r="BC22" s="89">
        <v>-0.22191792699999999</v>
      </c>
      <c r="BD22" s="89">
        <v>-0.316033234</v>
      </c>
      <c r="BE22" s="89">
        <v>-0.113663429</v>
      </c>
      <c r="BF22" s="89">
        <v>-0.32930946799999999</v>
      </c>
      <c r="BG22" s="89">
        <v>-0.30215702300000002</v>
      </c>
      <c r="BH22" s="89">
        <v>-0.33079001000000002</v>
      </c>
      <c r="BI22" s="89">
        <v>-0.19040653499999999</v>
      </c>
      <c r="BJ22" s="89">
        <v>-0.44571613700000001</v>
      </c>
      <c r="BK22" s="89">
        <v>-0.53164803599999999</v>
      </c>
      <c r="BL22" s="89">
        <v>-8.2719176000000005E-2</v>
      </c>
      <c r="BM22" s="89">
        <v>0.100854255</v>
      </c>
      <c r="BN22" s="89">
        <v>-0.11193689499999999</v>
      </c>
      <c r="BO22" s="89">
        <v>-0.27013342499999998</v>
      </c>
      <c r="BP22" s="89">
        <v>-0.11599319399999999</v>
      </c>
      <c r="BQ22" s="89">
        <v>-8.1060667000000003E-2</v>
      </c>
      <c r="BR22" s="89">
        <v>4.5309089999999996E-3</v>
      </c>
      <c r="BS22" s="89">
        <v>-4.5581231E-2</v>
      </c>
      <c r="BT22" s="89">
        <v>3.1907802999999998E-2</v>
      </c>
      <c r="BU22" s="89">
        <v>-2.0690142000000002E-2</v>
      </c>
      <c r="BV22" s="89">
        <v>0.13759712399999999</v>
      </c>
      <c r="BW22" s="88">
        <v>-2.9138755999999998E-2</v>
      </c>
      <c r="BX22" s="88">
        <v>-1.7085322E-2</v>
      </c>
      <c r="BY22" s="88">
        <v>-5.5058091000000003E-2</v>
      </c>
      <c r="BZ22" s="88">
        <v>-0.13957572200000001</v>
      </c>
      <c r="CA22" s="88">
        <v>-3.4604408000000003E-2</v>
      </c>
      <c r="CB22" s="88">
        <v>-8.1465943999999998E-2</v>
      </c>
      <c r="CC22" s="88">
        <v>0.14791928900000001</v>
      </c>
      <c r="CD22" s="88">
        <v>-4.9290510000000003E-2</v>
      </c>
      <c r="CE22" s="88">
        <v>-1.0751428725504402</v>
      </c>
      <c r="CF22" s="88">
        <v>-0.70522680971572171</v>
      </c>
      <c r="CG22" s="88">
        <v>1.1760939886709065</v>
      </c>
      <c r="CH22" s="88">
        <v>-1.0231195464953322</v>
      </c>
      <c r="CI22" s="88">
        <v>-2.1993549301588294E-2</v>
      </c>
      <c r="CJ22" s="88">
        <v>-0.96790990096776008</v>
      </c>
      <c r="CK22" s="88">
        <v>-0.69932773884363686</v>
      </c>
      <c r="CL22" s="88">
        <v>-0.76876223781361808</v>
      </c>
      <c r="CM22" s="88">
        <v>-2.3580589831947552</v>
      </c>
      <c r="CN22" s="88">
        <v>-0.21818325081225728</v>
      </c>
      <c r="CO22" s="88">
        <v>-0.72261436578274485</v>
      </c>
      <c r="CP22" s="88">
        <v>-1.1223432918025318</v>
      </c>
      <c r="CQ22" s="88">
        <v>0.138548252522219</v>
      </c>
      <c r="CR22" s="88">
        <v>-1.0698006475133079</v>
      </c>
      <c r="CS22" s="88">
        <v>-0.42306953334003217</v>
      </c>
      <c r="CT22" s="88">
        <v>1.6539375818908195</v>
      </c>
      <c r="CU22" s="88">
        <v>-0.75137812146982408</v>
      </c>
      <c r="CV22" s="88">
        <v>-0.31784498363721847</v>
      </c>
      <c r="CW22" s="88">
        <v>-0.18829324955854526</v>
      </c>
      <c r="CX22" s="88">
        <v>-0.31854767600448686</v>
      </c>
      <c r="CY22" s="88">
        <v>-1.0461065204311903</v>
      </c>
      <c r="CZ22" s="88">
        <v>-0.36875983555755154</v>
      </c>
      <c r="DA22" s="88">
        <v>-0.6731598740890794</v>
      </c>
      <c r="DB22" s="88">
        <v>0.24406128011808462</v>
      </c>
      <c r="DC22" s="88">
        <v>1.8723119809379034</v>
      </c>
      <c r="DD22" s="88">
        <v>0.64498823676779171</v>
      </c>
      <c r="DE22" s="88">
        <v>-1.4769506105811723</v>
      </c>
      <c r="DF22" s="88">
        <v>-2.2806566050798591</v>
      </c>
      <c r="DG22" s="88">
        <v>-0.27255741204241057</v>
      </c>
      <c r="DH22" s="88">
        <v>-1.6518485878841425</v>
      </c>
      <c r="DI22" s="88">
        <v>0.15551825916062612</v>
      </c>
      <c r="DJ22" s="88">
        <v>-1.1711961446064199</v>
      </c>
      <c r="DK22" s="88">
        <v>-1.1323621839525868</v>
      </c>
      <c r="DL22" s="88">
        <v>-1.1756369793703103</v>
      </c>
      <c r="DM22" s="88">
        <v>-0.89499276659234361</v>
      </c>
      <c r="DN22" s="88">
        <v>-0.53626296143220509</v>
      </c>
      <c r="DO22" s="88">
        <v>-0.27040941327146545</v>
      </c>
      <c r="DP22" s="88">
        <v>7.247667962031612E-2</v>
      </c>
      <c r="DQ22" s="88">
        <v>-1.2725328327783529</v>
      </c>
      <c r="DR22" s="88">
        <v>-0.27909922087310829</v>
      </c>
      <c r="DS22" s="89">
        <v>-0.86702809139496806</v>
      </c>
      <c r="DT22" s="89">
        <v>-1.5647984622299549</v>
      </c>
      <c r="DU22" s="89">
        <v>-0.29691395481606003</v>
      </c>
      <c r="DV22" s="89">
        <v>-0.64843254957864249</v>
      </c>
      <c r="DW22" s="89">
        <v>-0.63803981430801948</v>
      </c>
      <c r="DX22" s="89">
        <v>-0.64958355908050636</v>
      </c>
      <c r="DY22" s="89">
        <v>-1.2647219748387153</v>
      </c>
      <c r="DZ22" s="89">
        <v>-0.74847618931111604</v>
      </c>
      <c r="EA22" s="89">
        <v>-0.68370962490554554</v>
      </c>
      <c r="EB22" s="89">
        <v>-0.74740156645872613</v>
      </c>
      <c r="EC22" s="89">
        <v>-0.64892819157224457</v>
      </c>
      <c r="ED22" s="89">
        <v>-0.69995597319104852</v>
      </c>
      <c r="EE22" s="89">
        <v>-0.67919476227373476</v>
      </c>
      <c r="EF22" s="89">
        <v>-1.2101822997514848</v>
      </c>
      <c r="EG22" s="89">
        <v>-0.74073371411433464</v>
      </c>
      <c r="EH22" s="89">
        <v>-0.35274893399420104</v>
      </c>
      <c r="EI22" s="89">
        <v>-0.83308655339436744</v>
      </c>
      <c r="EJ22" s="89">
        <v>-0.6344886032798428</v>
      </c>
      <c r="EK22" s="89">
        <v>-0.73693727973687573</v>
      </c>
      <c r="EL22" s="89">
        <v>1.8674678462566376</v>
      </c>
      <c r="EM22" s="89">
        <v>-0.89858320958058369</v>
      </c>
      <c r="EN22" s="89">
        <v>-0.72813135329743361</v>
      </c>
      <c r="EO22" s="89">
        <v>-1.0593265025793936</v>
      </c>
      <c r="EP22" s="89">
        <v>-1.0257326592187046</v>
      </c>
      <c r="EQ22" s="89">
        <v>-0.73539978683184826</v>
      </c>
      <c r="ER22" s="89">
        <v>-0.74257055645112424</v>
      </c>
    </row>
    <row r="23" spans="1:148" x14ac:dyDescent="0.25">
      <c r="A23" s="87">
        <v>610</v>
      </c>
      <c r="B23" s="87">
        <v>-1.314378435671868</v>
      </c>
      <c r="C23" s="87">
        <v>-0.32133463949589042</v>
      </c>
      <c r="D23" s="87">
        <v>-1.2196333965860606</v>
      </c>
      <c r="E23" s="87">
        <v>1.5512017678580217</v>
      </c>
      <c r="F23" s="87">
        <v>0.38230777177495112</v>
      </c>
      <c r="G23" s="87">
        <v>0.16506574937171239</v>
      </c>
      <c r="H23" s="87">
        <v>-0.84341396635274679</v>
      </c>
      <c r="I23" s="87">
        <v>-0.32339103417584553</v>
      </c>
      <c r="J23" s="87">
        <v>-0.77345447000745893</v>
      </c>
      <c r="K23" s="87">
        <v>2.0183972284362368</v>
      </c>
      <c r="L23" s="87">
        <v>-0.55584348445565379</v>
      </c>
      <c r="M23" s="87">
        <v>-0.20827481543280998</v>
      </c>
      <c r="N23" s="87">
        <v>610</v>
      </c>
      <c r="O23" s="87">
        <v>-0.19803902800000001</v>
      </c>
      <c r="P23" s="87">
        <v>2.0758999039999999</v>
      </c>
      <c r="Q23" s="87">
        <v>-0.40134058900000003</v>
      </c>
      <c r="R23" s="87">
        <v>6.3480024999999995E-2</v>
      </c>
      <c r="S23" s="87">
        <v>-8.2317700999999993E-2</v>
      </c>
      <c r="T23" s="87">
        <v>-0.152478052</v>
      </c>
      <c r="U23" s="87">
        <v>-0.13455001799999999</v>
      </c>
      <c r="V23" s="87">
        <v>0.77633012800000001</v>
      </c>
      <c r="W23" s="87">
        <v>-2.2299809999999998E-3</v>
      </c>
      <c r="X23" s="87">
        <v>-0.23570734099999999</v>
      </c>
      <c r="Y23" s="87">
        <v>2.7670750000000001E-2</v>
      </c>
      <c r="Z23" s="88">
        <v>-0.67713591500000003</v>
      </c>
      <c r="AA23" s="88">
        <v>-0.59172320599999995</v>
      </c>
      <c r="AB23" s="88">
        <v>-0.50906412700000003</v>
      </c>
      <c r="AC23" s="88">
        <v>-0.62607069900000001</v>
      </c>
      <c r="AD23" s="88">
        <v>-0.63822987900000006</v>
      </c>
      <c r="AE23" s="88">
        <v>-0.61488070299999997</v>
      </c>
      <c r="AF23" s="89">
        <v>-0.124055385</v>
      </c>
      <c r="AG23" s="89">
        <v>-0.23009191300000001</v>
      </c>
      <c r="AH23" s="89">
        <v>0.58451019800000004</v>
      </c>
      <c r="AI23" s="89">
        <v>-0.64343332600000003</v>
      </c>
      <c r="AJ23" s="89">
        <v>-0.75132162300000005</v>
      </c>
      <c r="AK23" s="89">
        <v>-0.69311511599999998</v>
      </c>
      <c r="AL23" s="89">
        <v>-0.64096903299999997</v>
      </c>
      <c r="AM23" s="89">
        <v>-0.56993337600000005</v>
      </c>
      <c r="AN23" s="89">
        <v>-0.66822369500000001</v>
      </c>
      <c r="AO23" s="90">
        <v>-0.48199848699999998</v>
      </c>
      <c r="AP23" s="89">
        <v>-0.27675437899999999</v>
      </c>
      <c r="AQ23" s="89">
        <v>-0.42878735499999998</v>
      </c>
      <c r="AR23" s="89">
        <v>-1.102128808</v>
      </c>
      <c r="AS23" s="89">
        <v>-1.9994008000000001E-2</v>
      </c>
      <c r="AT23" s="89">
        <v>-0.65552829499999998</v>
      </c>
      <c r="AU23" s="89">
        <v>1.2325560000000001E-3</v>
      </c>
      <c r="AV23" s="89">
        <v>0.138309133</v>
      </c>
      <c r="AW23" s="89">
        <v>-9.1076722999999998E-2</v>
      </c>
      <c r="AX23" s="89">
        <v>-5.5190470999999998E-2</v>
      </c>
      <c r="AY23" s="89">
        <v>1.10915144</v>
      </c>
      <c r="AZ23" s="89">
        <v>-0.46610892799999998</v>
      </c>
      <c r="BA23" s="89">
        <v>-0.67003561899999997</v>
      </c>
      <c r="BB23" s="89">
        <v>-1.059115402</v>
      </c>
      <c r="BC23" s="89">
        <v>-0.38626867999999998</v>
      </c>
      <c r="BD23" s="89">
        <v>-0.44547815400000002</v>
      </c>
      <c r="BE23" s="89">
        <v>-0.195574108</v>
      </c>
      <c r="BF23" s="89">
        <v>-0.33576315899999998</v>
      </c>
      <c r="BG23" s="89">
        <v>-0.36762586000000003</v>
      </c>
      <c r="BH23" s="89">
        <v>-0.323554489</v>
      </c>
      <c r="BI23" s="89">
        <v>-0.15772729699999999</v>
      </c>
      <c r="BJ23" s="89">
        <v>-0.28478420100000001</v>
      </c>
      <c r="BK23" s="89">
        <v>-0.33813051700000002</v>
      </c>
      <c r="BL23" s="89">
        <v>-8.3599899000000005E-2</v>
      </c>
      <c r="BM23" s="89">
        <v>-0.10050941400000001</v>
      </c>
      <c r="BN23" s="89">
        <v>-0.107353535</v>
      </c>
      <c r="BO23" s="89">
        <v>-0.31597280999999999</v>
      </c>
      <c r="BP23" s="89">
        <v>-0.115992659</v>
      </c>
      <c r="BQ23" s="89">
        <v>-7.9073218000000001E-2</v>
      </c>
      <c r="BR23" s="89">
        <v>4.7177284999999999E-2</v>
      </c>
      <c r="BS23" s="89">
        <v>-0.288253698</v>
      </c>
      <c r="BT23" s="89">
        <v>4.1494739000000003E-2</v>
      </c>
      <c r="BU23" s="89">
        <v>-9.5484623000000005E-2</v>
      </c>
      <c r="BV23" s="89">
        <v>-0.17152155699999999</v>
      </c>
      <c r="BW23" s="88">
        <v>5.8524396999999999E-2</v>
      </c>
      <c r="BX23" s="88">
        <v>7.5973744999999995E-2</v>
      </c>
      <c r="BY23" s="88">
        <v>-6.4654878999999998E-2</v>
      </c>
      <c r="BZ23" s="88">
        <v>-4.1162447999999997E-2</v>
      </c>
      <c r="CA23" s="88">
        <v>-8.2403885999999996E-2</v>
      </c>
      <c r="CB23" s="88">
        <v>-0.10021836200000001</v>
      </c>
      <c r="CC23" s="88">
        <v>5.3390491999999998E-2</v>
      </c>
      <c r="CD23" s="88">
        <v>-4.8056750000000002E-2</v>
      </c>
      <c r="CE23" s="88">
        <v>-1.061221972245274</v>
      </c>
      <c r="CF23" s="88">
        <v>-0.82671080557104004</v>
      </c>
      <c r="CG23" s="88">
        <v>1.5854391406524575</v>
      </c>
      <c r="CH23" s="88">
        <v>-0.99486590003135722</v>
      </c>
      <c r="CI23" s="88">
        <v>-0.17689233646451125</v>
      </c>
      <c r="CJ23" s="88">
        <v>-1.7722692486995115</v>
      </c>
      <c r="CK23" s="88">
        <v>-0.38749700113481217</v>
      </c>
      <c r="CL23" s="88">
        <v>-0.96538854131506879</v>
      </c>
      <c r="CM23" s="88">
        <v>-1.0511529236241666</v>
      </c>
      <c r="CN23" s="88">
        <v>9.7297074628048805E-2</v>
      </c>
      <c r="CO23" s="88">
        <v>-0.64501491712766423</v>
      </c>
      <c r="CP23" s="88">
        <v>-1.2865674885444616</v>
      </c>
      <c r="CQ23" s="88">
        <v>-0.46501661811586986</v>
      </c>
      <c r="CR23" s="88">
        <v>-0.34888565196121335</v>
      </c>
      <c r="CS23" s="88">
        <v>0.35154321694141116</v>
      </c>
      <c r="CT23" s="88">
        <v>0.65221325600108981</v>
      </c>
      <c r="CU23" s="88">
        <v>-0.56240638036907764</v>
      </c>
      <c r="CV23" s="88">
        <v>-0.73810813528695352</v>
      </c>
      <c r="CW23" s="88">
        <v>-0.34728422338279463</v>
      </c>
      <c r="CX23" s="88">
        <v>-0.15412082995469276</v>
      </c>
      <c r="CY23" s="88">
        <v>-0.58710118991618965</v>
      </c>
      <c r="CZ23" s="88">
        <v>-0.38163270907069224</v>
      </c>
      <c r="DA23" s="88">
        <v>-0.65762916509803526</v>
      </c>
      <c r="DB23" s="88">
        <v>-0.62926302078963436</v>
      </c>
      <c r="DC23" s="88">
        <v>1.2223558082031261</v>
      </c>
      <c r="DD23" s="88">
        <v>-0.23987061824830888</v>
      </c>
      <c r="DE23" s="88">
        <v>-1.2120091958208705</v>
      </c>
      <c r="DF23" s="88">
        <v>-0.90769209520855043</v>
      </c>
      <c r="DG23" s="88">
        <v>-0.50544930325168225</v>
      </c>
      <c r="DH23" s="88">
        <v>-1.2825112879042266</v>
      </c>
      <c r="DI23" s="88">
        <v>0.28042755418020859</v>
      </c>
      <c r="DJ23" s="88">
        <v>-0.68279020583748962</v>
      </c>
      <c r="DK23" s="88">
        <v>-1.289493492083517</v>
      </c>
      <c r="DL23" s="88">
        <v>-1.2381038115198579</v>
      </c>
      <c r="DM23" s="88">
        <v>-1.1397962887478139</v>
      </c>
      <c r="DN23" s="88">
        <v>-0.66177714952654776</v>
      </c>
      <c r="DO23" s="88">
        <v>-0.75278189394147665</v>
      </c>
      <c r="DP23" s="88">
        <v>-1.4945667677230963</v>
      </c>
      <c r="DQ23" s="88">
        <v>-1.1822706051758642</v>
      </c>
      <c r="DR23" s="88">
        <v>-0.43193442262341192</v>
      </c>
      <c r="DS23" s="89">
        <v>-1.0843993962108163</v>
      </c>
      <c r="DT23" s="89">
        <v>-1.6424678639030919</v>
      </c>
      <c r="DU23" s="89">
        <v>0.39013260333619965</v>
      </c>
      <c r="DV23" s="89">
        <v>-0.7716790394412667</v>
      </c>
      <c r="DW23" s="89">
        <v>-0.64119368978133129</v>
      </c>
      <c r="DX23" s="89">
        <v>-0.4822023783577068</v>
      </c>
      <c r="DY23" s="89">
        <v>-1.3463786526421389</v>
      </c>
      <c r="DZ23" s="89">
        <v>-0.96497595118167623</v>
      </c>
      <c r="EA23" s="89">
        <v>-0.76147603598581615</v>
      </c>
      <c r="EB23" s="89">
        <v>-0.74739823286062501</v>
      </c>
      <c r="EC23" s="89">
        <v>-0.4808699237525923</v>
      </c>
      <c r="ED23" s="89">
        <v>-0.6463984784801563</v>
      </c>
      <c r="EE23" s="89">
        <v>-0.37560680180362571</v>
      </c>
      <c r="EF23" s="89">
        <v>-1.2724542589673498</v>
      </c>
      <c r="EG23" s="89">
        <v>-0.98039720567666622</v>
      </c>
      <c r="EH23" s="89">
        <v>-0.74584045799154108</v>
      </c>
      <c r="EI23" s="89">
        <v>-1.1194870313621468</v>
      </c>
      <c r="EJ23" s="89">
        <v>-0.94302599474115956</v>
      </c>
      <c r="EK23" s="89">
        <v>-0.89908150011866417</v>
      </c>
      <c r="EL23" s="89">
        <v>0.87140348254219813</v>
      </c>
      <c r="EM23" s="89">
        <v>-0.9181163457998669</v>
      </c>
      <c r="EN23" s="89">
        <v>-0.86171666833510374</v>
      </c>
      <c r="EO23" s="89">
        <v>-1.1082637281372096</v>
      </c>
      <c r="EP23" s="89">
        <v>-1.1070011843113086</v>
      </c>
      <c r="EQ23" s="89">
        <v>-0.79851136852904059</v>
      </c>
      <c r="ER23" s="89">
        <v>-0.9635098877777506</v>
      </c>
    </row>
    <row r="24" spans="1:148" x14ac:dyDescent="0.25">
      <c r="A24" s="87">
        <v>620</v>
      </c>
      <c r="B24" s="87">
        <v>-0.95719240242197701</v>
      </c>
      <c r="C24" s="87">
        <v>-3.0738252489091279E-2</v>
      </c>
      <c r="D24" s="87">
        <v>-1.302015708813804</v>
      </c>
      <c r="E24" s="87">
        <v>1.7096267232838902</v>
      </c>
      <c r="F24" s="87">
        <v>0.71590670151635294</v>
      </c>
      <c r="G24" s="87">
        <v>-0.72253424701286051</v>
      </c>
      <c r="H24" s="87">
        <v>-0.50368221290715154</v>
      </c>
      <c r="I24" s="87">
        <v>-1.1305180306096205</v>
      </c>
      <c r="J24" s="87">
        <v>-2.0340097628530409</v>
      </c>
      <c r="K24" s="87">
        <v>-0.59387753440199886</v>
      </c>
      <c r="L24" s="87">
        <v>1.0948121308191154</v>
      </c>
      <c r="M24" s="87">
        <v>0.41129016582943795</v>
      </c>
      <c r="N24" s="87">
        <v>620</v>
      </c>
      <c r="O24" s="87">
        <v>-0.20574072600000001</v>
      </c>
      <c r="P24" s="87">
        <v>1.7709874720000001</v>
      </c>
      <c r="Q24" s="87">
        <v>-0.15276455</v>
      </c>
      <c r="R24" s="87">
        <v>-9.7579442000000002E-2</v>
      </c>
      <c r="S24" s="87">
        <v>-0.33017649900000001</v>
      </c>
      <c r="T24" s="87">
        <v>-0.182576507</v>
      </c>
      <c r="U24" s="87">
        <v>-0.14904977999999999</v>
      </c>
      <c r="V24" s="87">
        <v>0.68211173899999999</v>
      </c>
      <c r="W24" s="87">
        <v>0.65288091000000004</v>
      </c>
      <c r="X24" s="87">
        <v>-7.9594809000000002E-2</v>
      </c>
      <c r="Y24" s="87">
        <v>-0.17052188500000001</v>
      </c>
      <c r="Z24" s="88">
        <v>-0.58404935599999996</v>
      </c>
      <c r="AA24" s="88">
        <v>-0.54136461000000002</v>
      </c>
      <c r="AB24" s="88">
        <v>-0.58163059699999997</v>
      </c>
      <c r="AC24" s="88">
        <v>-0.578972453</v>
      </c>
      <c r="AD24" s="88">
        <v>-0.57481619799999994</v>
      </c>
      <c r="AE24" s="88">
        <v>-0.55722034200000004</v>
      </c>
      <c r="AF24" s="89">
        <v>-0.29663699100000002</v>
      </c>
      <c r="AG24" s="89">
        <v>-0.29899484300000001</v>
      </c>
      <c r="AH24" s="89">
        <v>0.15716490699999999</v>
      </c>
      <c r="AI24" s="89">
        <v>-0.55246963400000004</v>
      </c>
      <c r="AJ24" s="89">
        <v>-0.56312693000000003</v>
      </c>
      <c r="AK24" s="89">
        <v>-0.41794654199999998</v>
      </c>
      <c r="AL24" s="89">
        <v>-0.39583265699999998</v>
      </c>
      <c r="AM24" s="89">
        <v>-0.355155895</v>
      </c>
      <c r="AN24" s="89">
        <v>-0.43159983899999999</v>
      </c>
      <c r="AO24" s="90">
        <v>-0.31651238100000001</v>
      </c>
      <c r="AP24" s="89">
        <v>-0.19208160399999999</v>
      </c>
      <c r="AQ24" s="89">
        <v>-0.274940817</v>
      </c>
      <c r="AR24" s="89">
        <v>0.17589401700000001</v>
      </c>
      <c r="AS24" s="89">
        <v>-1.9994008000000001E-2</v>
      </c>
      <c r="AT24" s="89">
        <v>-0.47542076900000002</v>
      </c>
      <c r="AU24" s="89">
        <v>-0.18807384199999999</v>
      </c>
      <c r="AV24" s="89">
        <v>3.0646282E-2</v>
      </c>
      <c r="AW24" s="89">
        <v>-9.1076722999999998E-2</v>
      </c>
      <c r="AX24" s="89">
        <v>-4.2306995E-2</v>
      </c>
      <c r="AY24" s="89">
        <v>0.53372081199999999</v>
      </c>
      <c r="AZ24" s="89">
        <v>-0.420042201</v>
      </c>
      <c r="BA24" s="89">
        <v>-0.30063134899999999</v>
      </c>
      <c r="BB24" s="89">
        <v>-0.757838283</v>
      </c>
      <c r="BC24" s="89">
        <v>-0.26168540699999998</v>
      </c>
      <c r="BD24" s="89">
        <v>-0.32812236299999997</v>
      </c>
      <c r="BE24" s="89">
        <v>-0.21667992799999999</v>
      </c>
      <c r="BF24" s="89">
        <v>-0.14194425699999999</v>
      </c>
      <c r="BG24" s="89">
        <v>-0.19189371799999999</v>
      </c>
      <c r="BH24" s="89">
        <v>-9.7444460999999996E-2</v>
      </c>
      <c r="BI24" s="89">
        <v>-0.14956657000000001</v>
      </c>
      <c r="BJ24" s="89">
        <v>-0.19460491899999999</v>
      </c>
      <c r="BK24" s="89">
        <v>-0.13627155499999999</v>
      </c>
      <c r="BL24" s="89">
        <v>-9.3420172999999995E-2</v>
      </c>
      <c r="BM24" s="89">
        <v>-0.238894199</v>
      </c>
      <c r="BN24" s="89">
        <v>-8.9129440000000004E-2</v>
      </c>
      <c r="BO24" s="89">
        <v>-0.17361643299999999</v>
      </c>
      <c r="BP24" s="89">
        <v>-9.1400613000000006E-2</v>
      </c>
      <c r="BQ24" s="89">
        <v>-0.12058101</v>
      </c>
      <c r="BR24" s="89">
        <v>-0.311908609</v>
      </c>
      <c r="BS24" s="89">
        <v>-0.40744513900000001</v>
      </c>
      <c r="BT24" s="89">
        <v>-0.20480967899999999</v>
      </c>
      <c r="BU24" s="89">
        <v>-0.154721739</v>
      </c>
      <c r="BV24" s="89">
        <v>-0.32046962200000001</v>
      </c>
      <c r="BW24" s="88">
        <v>-4.3286979000000003E-2</v>
      </c>
      <c r="BX24" s="88">
        <v>-2.3598694999999999E-2</v>
      </c>
      <c r="BY24" s="88">
        <v>-0.13175047300000001</v>
      </c>
      <c r="BZ24" s="88">
        <v>-8.9959460000000005E-2</v>
      </c>
      <c r="CA24" s="88">
        <v>-0.1124708</v>
      </c>
      <c r="CB24" s="88">
        <v>-0.107701753</v>
      </c>
      <c r="CC24" s="88">
        <v>1.6782564E-2</v>
      </c>
      <c r="CD24" s="88">
        <v>-5.0811426999999999E-2</v>
      </c>
      <c r="CE24" s="88">
        <v>-1.0298717809721369</v>
      </c>
      <c r="CF24" s="88">
        <v>-0.95372970096775023</v>
      </c>
      <c r="CG24" s="88">
        <v>-0.75535311274539807</v>
      </c>
      <c r="CH24" s="88">
        <v>-1.1299075773438927</v>
      </c>
      <c r="CI24" s="88">
        <v>-0.72926546323103125</v>
      </c>
      <c r="CJ24" s="88">
        <v>-1.667490028328388</v>
      </c>
      <c r="CK24" s="88">
        <v>-0.73758549385725536</v>
      </c>
      <c r="CL24" s="88">
        <v>-1.1879545759127565</v>
      </c>
      <c r="CM24" s="88">
        <v>-0.19701743133390043</v>
      </c>
      <c r="CN24" s="88">
        <v>0.32795757881970122</v>
      </c>
      <c r="CO24" s="88">
        <v>-0.64636769053658472</v>
      </c>
      <c r="CP24" s="88">
        <v>-1.2507722477651877</v>
      </c>
      <c r="CQ24" s="88">
        <v>-0.7846952995630847</v>
      </c>
      <c r="CR24" s="88">
        <v>-0.54091237896982547</v>
      </c>
      <c r="CS24" s="88">
        <v>-0.59033754514185821</v>
      </c>
      <c r="CT24" s="88">
        <v>1.8850180704501219E-2</v>
      </c>
      <c r="CU24" s="88">
        <v>-0.98627363357365894</v>
      </c>
      <c r="CV24" s="88">
        <v>-1.1207566464417631</v>
      </c>
      <c r="CW24" s="88">
        <v>-0.8153562746191354</v>
      </c>
      <c r="CX24" s="88">
        <v>-0.59934766877278833</v>
      </c>
      <c r="CY24" s="88">
        <v>-0.65122679101971759</v>
      </c>
      <c r="CZ24" s="88">
        <v>-0.41364403605909128</v>
      </c>
      <c r="DA24" s="88">
        <v>-0.93613572206576434</v>
      </c>
      <c r="DB24" s="88">
        <v>-1.3672091390866994</v>
      </c>
      <c r="DC24" s="88">
        <v>-0.46935910124185753</v>
      </c>
      <c r="DD24" s="88">
        <v>0.17527681637329415</v>
      </c>
      <c r="DE24" s="88">
        <v>-0.88052801566401495</v>
      </c>
      <c r="DF24" s="88">
        <v>-1.3829565848723442</v>
      </c>
      <c r="DG24" s="88">
        <v>-0.72325614963713281</v>
      </c>
      <c r="DH24" s="88">
        <v>-1.0683780221368064</v>
      </c>
      <c r="DI24" s="88">
        <v>0.39039857302810926</v>
      </c>
      <c r="DJ24" s="88">
        <v>-0.52220246076401577</v>
      </c>
      <c r="DK24" s="88">
        <v>-1.1292543668519579</v>
      </c>
      <c r="DL24" s="88">
        <v>-1.0492615027060965</v>
      </c>
      <c r="DM24" s="88">
        <v>-1.1483480557927077</v>
      </c>
      <c r="DN24" s="88">
        <v>-0.67303507138080154</v>
      </c>
      <c r="DO24" s="88">
        <v>-0.63114611316894054</v>
      </c>
      <c r="DP24" s="88">
        <v>-1.6468215423094814</v>
      </c>
      <c r="DQ24" s="88">
        <v>-1.1134542697691419</v>
      </c>
      <c r="DR24" s="88">
        <v>-0.82525024105016975</v>
      </c>
      <c r="DS24" s="89">
        <v>-1.1722191950620295</v>
      </c>
      <c r="DT24" s="89">
        <v>-1.0622206392703797</v>
      </c>
      <c r="DU24" s="89">
        <v>-0.45558657712895051</v>
      </c>
      <c r="DV24" s="89">
        <v>-1.3930847094563532</v>
      </c>
      <c r="DW24" s="89">
        <v>-0.66583490103564069</v>
      </c>
      <c r="DX24" s="89">
        <v>-0.41674679356345257</v>
      </c>
      <c r="DY24" s="89">
        <v>-1.2301255450737421</v>
      </c>
      <c r="DZ24" s="89">
        <v>-1.1589333257450898</v>
      </c>
      <c r="EA24" s="89">
        <v>-0.77859008601070423</v>
      </c>
      <c r="EB24" s="89">
        <v>-0.58071499409486393</v>
      </c>
      <c r="EC24" s="89">
        <v>-0.7020589296603259</v>
      </c>
      <c r="ED24" s="89">
        <v>-0.52724322860418826</v>
      </c>
      <c r="EE24" s="89">
        <v>-0.60201300542858394</v>
      </c>
      <c r="EF24" s="89">
        <v>-1.2645467490414599</v>
      </c>
      <c r="EG24" s="89">
        <v>-1.0387747774935638</v>
      </c>
      <c r="EH24" s="89">
        <v>-0.92818250605982322</v>
      </c>
      <c r="EI24" s="89">
        <v>-1.2241580962826706</v>
      </c>
      <c r="EJ24" s="89">
        <v>-1.1093004974688998</v>
      </c>
      <c r="EK24" s="89">
        <v>-0.50698927514907488</v>
      </c>
      <c r="EL24" s="89">
        <v>0.15221724447630255</v>
      </c>
      <c r="EM24" s="89">
        <v>-0.86024545680619136</v>
      </c>
      <c r="EN24" s="89">
        <v>-0.77243671303604122</v>
      </c>
      <c r="EO24" s="89">
        <v>-1.1144041637840709</v>
      </c>
      <c r="EP24" s="89">
        <v>-1.1308335778669085</v>
      </c>
      <c r="EQ24" s="89">
        <v>-0.68653285346323956</v>
      </c>
      <c r="ER24" s="89">
        <v>-0.99916271702181447</v>
      </c>
    </row>
    <row r="25" spans="1:148" x14ac:dyDescent="0.25">
      <c r="A25" s="87">
        <v>630</v>
      </c>
      <c r="B25" s="87">
        <v>-0.21629662058185653</v>
      </c>
      <c r="C25" s="87">
        <v>2.7831561946387622E-2</v>
      </c>
      <c r="D25" s="87">
        <v>-1.0088315976503643</v>
      </c>
      <c r="E25" s="87">
        <v>1.1366564678269986</v>
      </c>
      <c r="F25" s="87">
        <v>2.3803897825418732</v>
      </c>
      <c r="G25" s="87">
        <v>0.42698050240322566</v>
      </c>
      <c r="H25" s="87">
        <v>-0.64266338477125873</v>
      </c>
      <c r="I25" s="87">
        <v>-1.2421667217589611</v>
      </c>
      <c r="J25" s="87">
        <v>-1.304214593310862</v>
      </c>
      <c r="K25" s="87">
        <v>-0.84482799194821545</v>
      </c>
      <c r="L25" s="87">
        <v>2.4096812718945206</v>
      </c>
      <c r="M25" s="87">
        <v>0.10694245573570214</v>
      </c>
      <c r="N25" s="87">
        <v>630</v>
      </c>
      <c r="O25" s="87">
        <v>-0.206415191</v>
      </c>
      <c r="P25" s="87">
        <v>1.5226762920000001</v>
      </c>
      <c r="Q25" s="87">
        <v>-0.106319836</v>
      </c>
      <c r="R25" s="87">
        <v>-0.61661423800000004</v>
      </c>
      <c r="S25" s="87">
        <v>-9.2188893999999993E-2</v>
      </c>
      <c r="T25" s="87">
        <v>-0.190787032</v>
      </c>
      <c r="U25" s="87">
        <v>-0.17886059200000001</v>
      </c>
      <c r="V25" s="87">
        <v>0.20989550500000001</v>
      </c>
      <c r="W25" s="87">
        <v>0.64191244999999997</v>
      </c>
      <c r="X25" s="87">
        <v>-0.50723389399999996</v>
      </c>
      <c r="Y25" s="87">
        <v>-0.61351410900000003</v>
      </c>
      <c r="Z25" s="88">
        <v>-0.27434747700000001</v>
      </c>
      <c r="AA25" s="88">
        <v>-0.54582821500000001</v>
      </c>
      <c r="AB25" s="88">
        <v>-0.82023295900000004</v>
      </c>
      <c r="AC25" s="88">
        <v>-0.60616879000000001</v>
      </c>
      <c r="AD25" s="88">
        <v>-0.56796798900000001</v>
      </c>
      <c r="AE25" s="88">
        <v>-0.582143348</v>
      </c>
      <c r="AF25" s="89">
        <v>-0.65464981899999997</v>
      </c>
      <c r="AG25" s="89">
        <v>-0.54291364099999995</v>
      </c>
      <c r="AH25" s="89">
        <v>0.13469856199999999</v>
      </c>
      <c r="AI25" s="89">
        <v>-0.29786331300000002</v>
      </c>
      <c r="AJ25" s="89">
        <v>-0.431707954</v>
      </c>
      <c r="AK25" s="89">
        <v>7.7704303000000002E-2</v>
      </c>
      <c r="AL25" s="89">
        <v>2.6059949999999998E-2</v>
      </c>
      <c r="AM25" s="89">
        <v>-2.7427954000000001E-2</v>
      </c>
      <c r="AN25" s="89">
        <v>-7.0538673999999996E-2</v>
      </c>
      <c r="AO25" s="90">
        <v>2.6559410000000002E-3</v>
      </c>
      <c r="AP25" s="89">
        <v>1.084742E-2</v>
      </c>
      <c r="AQ25" s="89">
        <v>4.4117494E-2</v>
      </c>
      <c r="AR25" s="89">
        <v>3.135997309</v>
      </c>
      <c r="AS25" s="89">
        <v>-1.9994008000000001E-2</v>
      </c>
      <c r="AT25" s="89">
        <v>-0.48847057599999999</v>
      </c>
      <c r="AU25" s="89">
        <v>-0.17184073799999999</v>
      </c>
      <c r="AV25" s="89">
        <v>-0.66371735099999996</v>
      </c>
      <c r="AW25" s="89">
        <v>-9.1076722999999998E-2</v>
      </c>
      <c r="AX25" s="89">
        <v>-3.2282012999999998E-2</v>
      </c>
      <c r="AY25" s="89">
        <v>-2.2671789000000001E-2</v>
      </c>
      <c r="AZ25" s="89">
        <v>-0.44414011599999997</v>
      </c>
      <c r="BA25" s="89">
        <v>-0.24317934599999999</v>
      </c>
      <c r="BB25" s="89">
        <v>8.1390887999999995E-2</v>
      </c>
      <c r="BC25" s="89">
        <v>-8.9368688000000002E-2</v>
      </c>
      <c r="BD25" s="89">
        <v>-0.132529378</v>
      </c>
      <c r="BE25" s="89">
        <v>-0.10587437600000001</v>
      </c>
      <c r="BF25" s="89">
        <v>-0.13650174400000001</v>
      </c>
      <c r="BG25" s="89">
        <v>-0.13331633800000001</v>
      </c>
      <c r="BH25" s="89">
        <v>-5.5840215999999998E-2</v>
      </c>
      <c r="BI25" s="89">
        <v>-0.13518444600000001</v>
      </c>
      <c r="BJ25" s="89">
        <v>-0.37192211200000003</v>
      </c>
      <c r="BK25" s="89">
        <v>-0.27876165200000003</v>
      </c>
      <c r="BL25" s="89">
        <v>-0.11512044</v>
      </c>
      <c r="BM25" s="89">
        <v>-0.14287491699999999</v>
      </c>
      <c r="BN25" s="89">
        <v>-9.1154136999999996E-2</v>
      </c>
      <c r="BO25" s="89">
        <v>-0.144646461</v>
      </c>
      <c r="BP25" s="89">
        <v>-6.0321722000000001E-2</v>
      </c>
      <c r="BQ25" s="89">
        <v>-0.104523435</v>
      </c>
      <c r="BR25" s="89">
        <v>-1.1322346489999999</v>
      </c>
      <c r="BS25" s="89">
        <v>-5.5935515999999998E-2</v>
      </c>
      <c r="BT25" s="89">
        <v>-0.74627286199999998</v>
      </c>
      <c r="BU25" s="89">
        <v>-0.12612969099999999</v>
      </c>
      <c r="BV25" s="89">
        <v>-0.163627512</v>
      </c>
      <c r="BW25" s="88">
        <v>-0.32301275200000001</v>
      </c>
      <c r="BX25" s="88">
        <v>-0.32393679800000003</v>
      </c>
      <c r="BY25" s="88">
        <v>-0.11331714599999999</v>
      </c>
      <c r="BZ25" s="88">
        <v>-0.118047764</v>
      </c>
      <c r="CA25" s="88">
        <v>-0.1124708</v>
      </c>
      <c r="CB25" s="88">
        <v>-4.2650255999999998E-2</v>
      </c>
      <c r="CC25" s="88">
        <v>-7.4377569999999997E-3</v>
      </c>
      <c r="CD25" s="88">
        <v>-5.4369987000000002E-2</v>
      </c>
      <c r="CE25" s="88">
        <v>-1.018997971093532</v>
      </c>
      <c r="CF25" s="88">
        <v>-1.023259244495444</v>
      </c>
      <c r="CG25" s="88">
        <v>-1.5537982685911613</v>
      </c>
      <c r="CH25" s="88">
        <v>-1.2465522816365286</v>
      </c>
      <c r="CI25" s="88">
        <v>-0.50377503703580384</v>
      </c>
      <c r="CJ25" s="88">
        <v>-0.51092356542597461</v>
      </c>
      <c r="CK25" s="88">
        <v>-1.1144129310343263</v>
      </c>
      <c r="CL25" s="88">
        <v>-1.3114978127470742</v>
      </c>
      <c r="CM25" s="88">
        <v>-0.38267205504557977</v>
      </c>
      <c r="CN25" s="88">
        <v>0.31980499405891422</v>
      </c>
      <c r="CO25" s="88">
        <v>-0.48461263808908261</v>
      </c>
      <c r="CP25" s="88">
        <v>-0.93514383198025341</v>
      </c>
      <c r="CQ25" s="88">
        <v>-0.99590962917497305</v>
      </c>
      <c r="CR25" s="88">
        <v>-0.85572029169615205</v>
      </c>
      <c r="CS25" s="88">
        <v>-1.9253842378097865</v>
      </c>
      <c r="CT25" s="88">
        <v>-0.1267665369119835</v>
      </c>
      <c r="CU25" s="88">
        <v>-1.2037771728113036</v>
      </c>
      <c r="CV25" s="88">
        <v>-1.2617706281438694</v>
      </c>
      <c r="CW25" s="88">
        <v>-1.3353939862116817</v>
      </c>
      <c r="CX25" s="88">
        <v>-1.1549799423847897</v>
      </c>
      <c r="CY25" s="88">
        <v>-1.2198166591975017</v>
      </c>
      <c r="CZ25" s="88">
        <v>-0.39929190452058294</v>
      </c>
      <c r="DA25" s="88">
        <v>-0.98963163053740055</v>
      </c>
      <c r="DB25" s="88">
        <v>-1.1142104936429784</v>
      </c>
      <c r="DC25" s="88">
        <v>0.49279059641007689</v>
      </c>
      <c r="DD25" s="88">
        <v>0.18269554651311981</v>
      </c>
      <c r="DE25" s="88">
        <v>-0.77810255118737748</v>
      </c>
      <c r="DF25" s="88">
        <v>-1.0345905227843999</v>
      </c>
      <c r="DG25" s="88">
        <v>-1.133925899011393</v>
      </c>
      <c r="DH25" s="88">
        <v>-1.1290514725732821</v>
      </c>
      <c r="DI25" s="88">
        <v>0.50027687798119858</v>
      </c>
      <c r="DJ25" s="88">
        <v>-0.64599869261538545</v>
      </c>
      <c r="DK25" s="88">
        <v>-0.88874260434648433</v>
      </c>
      <c r="DL25" s="88">
        <v>-0.92860989788084325</v>
      </c>
      <c r="DM25" s="88">
        <v>-1.0906192079403012</v>
      </c>
      <c r="DN25" s="88">
        <v>-0.59717626371377686</v>
      </c>
      <c r="DO25" s="88">
        <v>-0.50957543087332702</v>
      </c>
      <c r="DP25" s="88">
        <v>-0.35575637330110477</v>
      </c>
      <c r="DQ25" s="88">
        <v>-0.9980233932193493</v>
      </c>
      <c r="DR25" s="88">
        <v>-0.83077724208635761</v>
      </c>
      <c r="DS25" s="89">
        <v>-1.2460642390517307</v>
      </c>
      <c r="DT25" s="89">
        <v>-0.87550443484958018</v>
      </c>
      <c r="DU25" s="89">
        <v>-1.1185436338037515</v>
      </c>
      <c r="DV25" s="89">
        <v>-1.4106143114071561</v>
      </c>
      <c r="DW25" s="89">
        <v>-0.65678488209279806</v>
      </c>
      <c r="DX25" s="89">
        <v>-0.58061519477226542</v>
      </c>
      <c r="DY25" s="89">
        <v>-1.2074792317812948</v>
      </c>
      <c r="DZ25" s="89">
        <v>-1.2354098939647296</v>
      </c>
      <c r="EA25" s="89">
        <v>-0.84070168938285894</v>
      </c>
      <c r="EB25" s="89">
        <v>-0.74740156645874456</v>
      </c>
      <c r="EC25" s="89">
        <v>-0.89084469413802903</v>
      </c>
      <c r="ED25" s="89">
        <v>-1.0440705841203421</v>
      </c>
      <c r="EE25" s="89">
        <v>-1.0369440434563029</v>
      </c>
      <c r="EF25" s="89">
        <v>-1.238671902692172</v>
      </c>
      <c r="EG25" s="89">
        <v>-0.99004885827691624</v>
      </c>
      <c r="EH25" s="89">
        <v>-0.92301648027266803</v>
      </c>
      <c r="EI25" s="89">
        <v>-1.2174160743984999</v>
      </c>
      <c r="EJ25" s="89">
        <v>-1.1123672111300436</v>
      </c>
      <c r="EK25" s="89">
        <v>-0.78382663645491713</v>
      </c>
      <c r="EL25" s="89">
        <v>-0.17239461111705967</v>
      </c>
      <c r="EM25" s="89">
        <v>-0.79497606497147688</v>
      </c>
      <c r="EN25" s="89">
        <v>-0.75562476624454267</v>
      </c>
      <c r="EO25" s="89">
        <v>-1.1086265272140361</v>
      </c>
      <c r="EP25" s="89">
        <v>-1.1393056545141358</v>
      </c>
      <c r="EQ25" s="89">
        <v>-0.73858746976192491</v>
      </c>
      <c r="ER25" s="89">
        <v>-1.0913318092108204</v>
      </c>
    </row>
    <row r="26" spans="1:148" x14ac:dyDescent="0.25">
      <c r="A26" s="87">
        <v>640</v>
      </c>
      <c r="B26" s="87">
        <v>-1.1179888616572597E-2</v>
      </c>
      <c r="C26" s="87">
        <v>-0.11408760380111894</v>
      </c>
      <c r="D26" s="87">
        <v>-0.55815188958094464</v>
      </c>
      <c r="E26" s="87">
        <v>0.11217508940638117</v>
      </c>
      <c r="F26" s="87">
        <v>3.0475876420246766</v>
      </c>
      <c r="G26" s="87">
        <v>0.27662203307031996</v>
      </c>
      <c r="H26" s="87">
        <v>-0.66003603125427202</v>
      </c>
      <c r="I26" s="87">
        <v>-1.7096956159468248</v>
      </c>
      <c r="J26" s="87">
        <v>-0.83316498387909188</v>
      </c>
      <c r="K26" s="87">
        <v>0.51269448315893718</v>
      </c>
      <c r="L26" s="87">
        <v>2.4167504608250336</v>
      </c>
      <c r="M26" s="87">
        <v>-1.3061004839852142</v>
      </c>
      <c r="N26" s="87">
        <v>640</v>
      </c>
      <c r="O26" s="87">
        <v>-0.20733285200000001</v>
      </c>
      <c r="P26" s="87">
        <v>0.97353243499999997</v>
      </c>
      <c r="Q26" s="87">
        <v>-0.49708839100000002</v>
      </c>
      <c r="R26" s="87">
        <v>-1.0028393250000001</v>
      </c>
      <c r="S26" s="87">
        <v>0.29524441299999998</v>
      </c>
      <c r="T26" s="87">
        <v>-0.20131853699999999</v>
      </c>
      <c r="U26" s="87">
        <v>-0.22704548799999999</v>
      </c>
      <c r="V26" s="87">
        <v>-0.13856653999999999</v>
      </c>
      <c r="W26" s="87">
        <v>0.28787205399999999</v>
      </c>
      <c r="X26" s="87">
        <v>-1.982255265</v>
      </c>
      <c r="Y26" s="87">
        <v>-0.56688971300000002</v>
      </c>
      <c r="Z26" s="88">
        <v>-0.17150557799999999</v>
      </c>
      <c r="AA26" s="88">
        <v>-0.81765585500000004</v>
      </c>
      <c r="AB26" s="88">
        <v>-1.066878209</v>
      </c>
      <c r="AC26" s="88">
        <v>-0.92357646900000001</v>
      </c>
      <c r="AD26" s="88">
        <v>-0.87252570100000004</v>
      </c>
      <c r="AE26" s="88">
        <v>-0.876834212</v>
      </c>
      <c r="AF26" s="89">
        <v>-0.84359032300000003</v>
      </c>
      <c r="AG26" s="89">
        <v>-0.64412589600000003</v>
      </c>
      <c r="AH26" s="89">
        <v>0.15037940599999999</v>
      </c>
      <c r="AI26" s="89">
        <v>-0.51133775999999997</v>
      </c>
      <c r="AJ26" s="89">
        <v>-0.75613259499999996</v>
      </c>
      <c r="AK26" s="89">
        <v>0.30411708300000001</v>
      </c>
      <c r="AL26" s="89">
        <v>0.21732532099999999</v>
      </c>
      <c r="AM26" s="89">
        <v>6.5035834000000001E-2</v>
      </c>
      <c r="AN26" s="89">
        <v>-2.761997E-3</v>
      </c>
      <c r="AO26" s="90">
        <v>-0.15661667200000001</v>
      </c>
      <c r="AP26" s="89">
        <v>-7.9345972000000001E-2</v>
      </c>
      <c r="AQ26" s="89">
        <v>-0.72991105700000003</v>
      </c>
      <c r="AR26" s="89">
        <v>3.2249172659999998</v>
      </c>
      <c r="AS26" s="89">
        <v>-1.9994008000000001E-2</v>
      </c>
      <c r="AT26" s="89">
        <v>-1.295861626</v>
      </c>
      <c r="AU26" s="89">
        <v>-7.0723274000000003E-2</v>
      </c>
      <c r="AV26" s="89">
        <v>-1.0151672089999999</v>
      </c>
      <c r="AW26" s="89">
        <v>-9.1076722999999998E-2</v>
      </c>
      <c r="AX26" s="89">
        <v>1.6403711000000001E-2</v>
      </c>
      <c r="AY26" s="89">
        <v>-9.6759284000000001E-2</v>
      </c>
      <c r="AZ26" s="89">
        <v>-0.89571035499999996</v>
      </c>
      <c r="BA26" s="89">
        <v>-0.59535528199999999</v>
      </c>
      <c r="BB26" s="89">
        <v>0.75707651799999998</v>
      </c>
      <c r="BC26" s="89">
        <v>-0.28818827800000002</v>
      </c>
      <c r="BD26" s="89">
        <v>-0.51174026800000005</v>
      </c>
      <c r="BE26" s="89">
        <v>-0.185021199</v>
      </c>
      <c r="BF26" s="89">
        <v>-0.74088838099999998</v>
      </c>
      <c r="BG26" s="89">
        <v>-0.56058664199999997</v>
      </c>
      <c r="BH26" s="89">
        <v>-0.61261354899999998</v>
      </c>
      <c r="BI26" s="89">
        <v>-0.10659257499999999</v>
      </c>
      <c r="BJ26" s="89">
        <v>-0.783407674</v>
      </c>
      <c r="BK26" s="89">
        <v>-0.80497364599999999</v>
      </c>
      <c r="BL26" s="89">
        <v>-8.8731385999999995E-2</v>
      </c>
      <c r="BM26" s="89">
        <v>-7.7637579999999998E-2</v>
      </c>
      <c r="BN26" s="89">
        <v>-0.13109591500000001</v>
      </c>
      <c r="BO26" s="89">
        <v>-0.67125274800000001</v>
      </c>
      <c r="BP26" s="89">
        <v>-0.10580458</v>
      </c>
      <c r="BQ26" s="89">
        <v>-7.7842133999999993E-2</v>
      </c>
      <c r="BR26" s="89">
        <v>-0.35338792200000002</v>
      </c>
      <c r="BS26" s="89">
        <v>0.38872088999999999</v>
      </c>
      <c r="BT26" s="89">
        <v>-1.1912089370000001</v>
      </c>
      <c r="BU26" s="89">
        <v>-0.116962843</v>
      </c>
      <c r="BV26" s="89">
        <v>-6.0481205000000003E-2</v>
      </c>
      <c r="BW26" s="88">
        <v>-0.79257320600000003</v>
      </c>
      <c r="BX26" s="88">
        <v>-0.72294271799999998</v>
      </c>
      <c r="BY26" s="88">
        <v>-8.4804580000000004E-2</v>
      </c>
      <c r="BZ26" s="88">
        <v>-8.4148589999999995E-2</v>
      </c>
      <c r="CA26" s="88">
        <v>-9.7397292999999996E-2</v>
      </c>
      <c r="CB26" s="88">
        <v>-4.2654907999999998E-2</v>
      </c>
      <c r="CC26" s="88">
        <v>-2.4552883000000001E-2</v>
      </c>
      <c r="CD26" s="88">
        <v>-5.5173897E-2</v>
      </c>
      <c r="CE26" s="88">
        <v>-0.89071875406507706</v>
      </c>
      <c r="CF26" s="88">
        <v>-1.1029339677647456</v>
      </c>
      <c r="CG26" s="88">
        <v>-0.45390999009614419</v>
      </c>
      <c r="CH26" s="88">
        <v>-1.127963410382548</v>
      </c>
      <c r="CI26" s="88">
        <v>-0.47023551813847786</v>
      </c>
      <c r="CJ26" s="88">
        <v>-0.60077865071481595</v>
      </c>
      <c r="CK26" s="88">
        <v>-1.0651174840921054</v>
      </c>
      <c r="CL26" s="88">
        <v>-1.2267873731994734</v>
      </c>
      <c r="CM26" s="88">
        <v>0.21505129810978005</v>
      </c>
      <c r="CN26" s="88">
        <v>0.2335028846719566</v>
      </c>
      <c r="CO26" s="88">
        <v>-0.13792558875697827</v>
      </c>
      <c r="CP26" s="88">
        <v>-0.97022597179570114</v>
      </c>
      <c r="CQ26" s="88">
        <v>-0.93086004011996137</v>
      </c>
      <c r="CR26" s="88">
        <v>-0.79626125058109665</v>
      </c>
      <c r="CS26" s="88">
        <v>-1.2509766491713687</v>
      </c>
      <c r="CT26" s="88">
        <v>-0.15443919617886989</v>
      </c>
      <c r="CU26" s="88">
        <v>-1.099559450449523</v>
      </c>
      <c r="CV26" s="88">
        <v>-1.2478398751954025</v>
      </c>
      <c r="CW26" s="88">
        <v>-1.3705289698850389</v>
      </c>
      <c r="CX26" s="88">
        <v>-1.0608073089079826</v>
      </c>
      <c r="CY26" s="88">
        <v>-1.1506843704954155</v>
      </c>
      <c r="CZ26" s="88">
        <v>-0.38200292559301974</v>
      </c>
      <c r="DA26" s="88">
        <v>-0.78286454530738203</v>
      </c>
      <c r="DB26" s="88">
        <v>-1.5172271879039798</v>
      </c>
      <c r="DC26" s="88">
        <v>0.4915081558794297</v>
      </c>
      <c r="DD26" s="88">
        <v>-2.5198134993344955E-2</v>
      </c>
      <c r="DE26" s="88">
        <v>-0.94673567572084982</v>
      </c>
      <c r="DF26" s="88">
        <v>-1.3315634643793917</v>
      </c>
      <c r="DG26" s="88">
        <v>-0.67806068376466511</v>
      </c>
      <c r="DH26" s="88">
        <v>-1.1975298832217682</v>
      </c>
      <c r="DI26" s="88">
        <v>0.94459574577365235</v>
      </c>
      <c r="DJ26" s="88">
        <v>-0.19586861416917237</v>
      </c>
      <c r="DK26" s="88">
        <v>-0.88089605956693717</v>
      </c>
      <c r="DL26" s="88">
        <v>-0.95959489984449986</v>
      </c>
      <c r="DM26" s="88">
        <v>-1.0519181720460657</v>
      </c>
      <c r="DN26" s="88">
        <v>-0.606589457045836</v>
      </c>
      <c r="DO26" s="88">
        <v>-0.75646936099968998</v>
      </c>
      <c r="DP26" s="88">
        <v>-0.81408404939928847</v>
      </c>
      <c r="DQ26" s="88">
        <v>-0.78888433661939183</v>
      </c>
      <c r="DR26" s="88">
        <v>-0.61643218993187954</v>
      </c>
      <c r="DS26" s="89">
        <v>-1.2715034093292372</v>
      </c>
      <c r="DT26" s="89">
        <v>-0.99941885757994109</v>
      </c>
      <c r="DU26" s="89">
        <v>-1.1393300536588145</v>
      </c>
      <c r="DV26" s="89">
        <v>-1.0102164879684878</v>
      </c>
      <c r="DW26" s="89">
        <v>-0.66270062591837708</v>
      </c>
      <c r="DX26" s="89">
        <v>-0.76109372465295289</v>
      </c>
      <c r="DY26" s="89">
        <v>-1.0012564788645579</v>
      </c>
      <c r="DZ26" s="89">
        <v>-1.1767269332120203</v>
      </c>
      <c r="EA26" s="89">
        <v>-1.0099177460117714</v>
      </c>
      <c r="EB26" s="89">
        <v>-1.0807747111864967</v>
      </c>
      <c r="EC26" s="89">
        <v>-0.97527425383324573</v>
      </c>
      <c r="ED26" s="89">
        <v>-1.1705145402980515</v>
      </c>
      <c r="EE26" s="89">
        <v>-1.0275320328283615</v>
      </c>
      <c r="EF26" s="89">
        <v>-1.2073636759748265</v>
      </c>
      <c r="EG26" s="89">
        <v>-0.86976781395216107</v>
      </c>
      <c r="EH26" s="89">
        <v>-0.82927229221114029</v>
      </c>
      <c r="EI26" s="89">
        <v>-1.122731161605645</v>
      </c>
      <c r="EJ26" s="89">
        <v>-1.0727273525968894</v>
      </c>
      <c r="EK26" s="89">
        <v>-1.0542728942928703</v>
      </c>
      <c r="EL26" s="89">
        <v>-0.19362131735412016</v>
      </c>
      <c r="EM26" s="89">
        <v>-0.78351500037208111</v>
      </c>
      <c r="EN26" s="89">
        <v>-0.83542701896320692</v>
      </c>
      <c r="EO26" s="89">
        <v>-1.0987103437832129</v>
      </c>
      <c r="EP26" s="89">
        <v>-1.1460453037264504</v>
      </c>
      <c r="EQ26" s="89">
        <v>-0.88542068265328633</v>
      </c>
      <c r="ER26" s="89">
        <v>-1.1087577036934939</v>
      </c>
    </row>
    <row r="27" spans="1:148" x14ac:dyDescent="0.25">
      <c r="A27" s="87">
        <v>650</v>
      </c>
      <c r="B27" s="87">
        <v>-1.1340171713575666</v>
      </c>
      <c r="C27" s="87">
        <v>-1.3598225031403433</v>
      </c>
      <c r="D27" s="87">
        <v>-0.95310238643747913</v>
      </c>
      <c r="E27" s="87">
        <v>0.54520330090375568</v>
      </c>
      <c r="F27" s="87">
        <v>1.4673821853548792</v>
      </c>
      <c r="G27" s="87">
        <v>8.7461378103115855E-2</v>
      </c>
      <c r="H27" s="87">
        <v>-1.295102774911095</v>
      </c>
      <c r="I27" s="87">
        <v>-1.0630636130402271</v>
      </c>
      <c r="J27" s="87">
        <v>-1.7398801945224052</v>
      </c>
      <c r="K27" s="87">
        <v>0.69911482305041228</v>
      </c>
      <c r="L27" s="87">
        <v>0.63178025587051856</v>
      </c>
      <c r="M27" s="87">
        <v>-0.82783979669505781</v>
      </c>
      <c r="N27" s="87">
        <v>650</v>
      </c>
      <c r="O27" s="87">
        <v>-0.20605837499999999</v>
      </c>
      <c r="P27" s="87">
        <v>0.52852632399999999</v>
      </c>
      <c r="Q27" s="87">
        <v>-2.0763735630000002</v>
      </c>
      <c r="R27" s="87">
        <v>-0.297308187</v>
      </c>
      <c r="S27" s="87">
        <v>0.15472559499999999</v>
      </c>
      <c r="T27" s="87">
        <v>-0.27412231300000001</v>
      </c>
      <c r="U27" s="87">
        <v>-0.19370800499999999</v>
      </c>
      <c r="V27" s="87">
        <v>-0.36462808099999999</v>
      </c>
      <c r="W27" s="87">
        <v>-0.32303280499999998</v>
      </c>
      <c r="X27" s="87">
        <v>-1.6719999400000001</v>
      </c>
      <c r="Y27" s="87">
        <v>0.66776592099999998</v>
      </c>
      <c r="Z27" s="88">
        <v>-0.90608149900000001</v>
      </c>
      <c r="AA27" s="88">
        <v>-0.85915995099999998</v>
      </c>
      <c r="AB27" s="88">
        <v>-0.88933250900000005</v>
      </c>
      <c r="AC27" s="88">
        <v>-0.93952094799999997</v>
      </c>
      <c r="AD27" s="88">
        <v>-0.88611214500000002</v>
      </c>
      <c r="AE27" s="88">
        <v>-0.85024364600000002</v>
      </c>
      <c r="AF27" s="89">
        <v>-0.81758679499999998</v>
      </c>
      <c r="AG27" s="89">
        <v>-0.71293134300000005</v>
      </c>
      <c r="AH27" s="89">
        <v>0.19117326600000001</v>
      </c>
      <c r="AI27" s="89">
        <v>-1.930342558</v>
      </c>
      <c r="AJ27" s="89">
        <v>-1.223422333</v>
      </c>
      <c r="AK27" s="89">
        <v>-0.42228587200000001</v>
      </c>
      <c r="AL27" s="89">
        <v>-0.37167992300000002</v>
      </c>
      <c r="AM27" s="89">
        <v>-0.54305695799999998</v>
      </c>
      <c r="AN27" s="89">
        <v>-0.61830728899999998</v>
      </c>
      <c r="AO27" s="90">
        <v>-1.0359455440000001</v>
      </c>
      <c r="AP27" s="89">
        <v>-0.73988284800000004</v>
      </c>
      <c r="AQ27" s="89">
        <v>-2.245727611</v>
      </c>
      <c r="AR27" s="89">
        <v>0.98579873299999998</v>
      </c>
      <c r="AS27" s="89">
        <v>-1.9994008000000001E-2</v>
      </c>
      <c r="AT27" s="89">
        <v>-0.46075555099999999</v>
      </c>
      <c r="AU27" s="89">
        <v>7.5367542999999995E-2</v>
      </c>
      <c r="AV27" s="89">
        <v>0.216792858</v>
      </c>
      <c r="AW27" s="89">
        <v>-9.1076722999999998E-2</v>
      </c>
      <c r="AX27" s="89">
        <v>-3.9447944999999998E-2</v>
      </c>
      <c r="AY27" s="89">
        <v>-9.6759284000000001E-2</v>
      </c>
      <c r="AZ27" s="89">
        <v>-1.1865731429999999</v>
      </c>
      <c r="BA27" s="89">
        <v>-1.563682649</v>
      </c>
      <c r="BB27" s="89">
        <v>0.29312196499999998</v>
      </c>
      <c r="BC27" s="89">
        <v>-1.3618616429999999</v>
      </c>
      <c r="BD27" s="89">
        <v>-1.766329561</v>
      </c>
      <c r="BE27" s="89">
        <v>-1.055259357</v>
      </c>
      <c r="BF27" s="89">
        <v>-2.1515699760000002</v>
      </c>
      <c r="BG27" s="89">
        <v>-1.966443773</v>
      </c>
      <c r="BH27" s="89">
        <v>-1.9479289310000001</v>
      </c>
      <c r="BI27" s="89">
        <v>-0.11430325500000001</v>
      </c>
      <c r="BJ27" s="89">
        <v>-1.8150621570000001</v>
      </c>
      <c r="BK27" s="89">
        <v>-1.7207714869999999</v>
      </c>
      <c r="BL27" s="89">
        <v>-6.904014E-2</v>
      </c>
      <c r="BM27" s="89">
        <v>-4.5670009999999997E-2</v>
      </c>
      <c r="BN27" s="89">
        <v>-0.117091309</v>
      </c>
      <c r="BO27" s="89">
        <v>-2.3441743659999998</v>
      </c>
      <c r="BP27" s="89">
        <v>-0.121453901</v>
      </c>
      <c r="BQ27" s="89">
        <v>-0.115185275</v>
      </c>
      <c r="BR27" s="89">
        <v>1.1649266970000001</v>
      </c>
      <c r="BS27" s="89">
        <v>0.329990642</v>
      </c>
      <c r="BT27" s="89">
        <v>-0.293566045</v>
      </c>
      <c r="BU27" s="89">
        <v>-9.1694707E-2</v>
      </c>
      <c r="BV27" s="89">
        <v>-5.7402179999999997E-2</v>
      </c>
      <c r="BW27" s="88">
        <v>-0.37872985599999998</v>
      </c>
      <c r="BX27" s="88">
        <v>-0.36020210600000002</v>
      </c>
      <c r="BY27" s="88">
        <v>-0.137927667</v>
      </c>
      <c r="BZ27" s="88">
        <v>-8.8850618000000006E-2</v>
      </c>
      <c r="CA27" s="88">
        <v>-5.6921128000000001E-2</v>
      </c>
      <c r="CB27" s="88">
        <v>-8.8380828999999994E-2</v>
      </c>
      <c r="CC27" s="88">
        <v>-2.8095093000000002E-2</v>
      </c>
      <c r="CD27" s="88">
        <v>-5.5173944000000003E-2</v>
      </c>
      <c r="CE27" s="88">
        <v>-0.70475629751636371</v>
      </c>
      <c r="CF27" s="88">
        <v>-1.1459333444533013</v>
      </c>
      <c r="CG27" s="88">
        <v>0.12479136657695616</v>
      </c>
      <c r="CH27" s="88">
        <v>-1.0029094335902755</v>
      </c>
      <c r="CI27" s="88">
        <v>-0.39694018718470819</v>
      </c>
      <c r="CJ27" s="88">
        <v>-1.0434359815107854</v>
      </c>
      <c r="CK27" s="88">
        <v>-0.96893869103716912</v>
      </c>
      <c r="CL27" s="88">
        <v>-0.93715106320302322</v>
      </c>
      <c r="CM27" s="88">
        <v>-0.60280438581628926</v>
      </c>
      <c r="CN27" s="88">
        <v>0.1412716227317001</v>
      </c>
      <c r="CO27" s="88">
        <v>0.25352218589038922</v>
      </c>
      <c r="CP27" s="88">
        <v>-1.0161414296653004</v>
      </c>
      <c r="CQ27" s="88">
        <v>-0.7019899175174199</v>
      </c>
      <c r="CR27" s="88">
        <v>-0.86385336864327944</v>
      </c>
      <c r="CS27" s="88">
        <v>-0.50263099189188154</v>
      </c>
      <c r="CT27" s="88">
        <v>-9.6992429413454428E-2</v>
      </c>
      <c r="CU27" s="88">
        <v>-1.0140467868287943</v>
      </c>
      <c r="CV27" s="88">
        <v>-1.1467629935785169</v>
      </c>
      <c r="CW27" s="88">
        <v>-1.2119039820316391</v>
      </c>
      <c r="CX27" s="88">
        <v>-0.85789715970055214</v>
      </c>
      <c r="CY27" s="88">
        <v>-0.89201955435286351</v>
      </c>
      <c r="CZ27" s="88">
        <v>-0.38674092520815423</v>
      </c>
      <c r="DA27" s="88">
        <v>-0.77379557017171563</v>
      </c>
      <c r="DB27" s="88">
        <v>-0.53161444404034586</v>
      </c>
      <c r="DC27" s="88">
        <v>0.31506659440591328</v>
      </c>
      <c r="DD27" s="88">
        <v>-0.19763976228566188</v>
      </c>
      <c r="DE27" s="88">
        <v>-1.1805649609316875</v>
      </c>
      <c r="DF27" s="88">
        <v>-8.1561203779999772E-2</v>
      </c>
      <c r="DG27" s="88">
        <v>-0.69741964630189701</v>
      </c>
      <c r="DH27" s="88">
        <v>-0.40794799107071739</v>
      </c>
      <c r="DI27" s="88">
        <v>1.2552742709818072</v>
      </c>
      <c r="DJ27" s="88">
        <v>-0.12887732656628331</v>
      </c>
      <c r="DK27" s="88">
        <v>-0.86752129407269896</v>
      </c>
      <c r="DL27" s="88">
        <v>-0.89189314241960604</v>
      </c>
      <c r="DM27" s="88">
        <v>-1.1106967546324897</v>
      </c>
      <c r="DN27" s="88">
        <v>-0.63248154447256921</v>
      </c>
      <c r="DO27" s="88">
        <v>-0.65815474791863959</v>
      </c>
      <c r="DP27" s="88">
        <v>-0.99186709428673914</v>
      </c>
      <c r="DQ27" s="88">
        <v>-0.97427985121027416</v>
      </c>
      <c r="DR27" s="88">
        <v>-0.41856999059068661</v>
      </c>
      <c r="DS27" s="89">
        <v>-1.2725213190085112</v>
      </c>
      <c r="DT27" s="89">
        <v>-0.54459614177420879</v>
      </c>
      <c r="DU27" s="89">
        <v>-1.4646086023012501</v>
      </c>
      <c r="DV27" s="89">
        <v>-0.81608147168420475</v>
      </c>
      <c r="DW27" s="89">
        <v>-0.67855909581234375</v>
      </c>
      <c r="DX27" s="89">
        <v>-0.67938940406158821</v>
      </c>
      <c r="DY27" s="89">
        <v>-0.80229176331308638</v>
      </c>
      <c r="DZ27" s="89">
        <v>-1.1515566240315611</v>
      </c>
      <c r="EA27" s="89">
        <v>-1.1043613722812802</v>
      </c>
      <c r="EB27" s="89">
        <v>-1.2474612835503773</v>
      </c>
      <c r="EC27" s="89">
        <v>-1.0611665650245017</v>
      </c>
      <c r="ED27" s="89">
        <v>-1.1502011832446981</v>
      </c>
      <c r="EE27" s="89">
        <v>-0.94665101466181112</v>
      </c>
      <c r="EF27" s="89">
        <v>-1.1525954692646854</v>
      </c>
      <c r="EG27" s="89">
        <v>-0.72203501923756053</v>
      </c>
      <c r="EH27" s="89">
        <v>-0.70485360898242932</v>
      </c>
      <c r="EI27" s="89">
        <v>-0.8685034921345649</v>
      </c>
      <c r="EJ27" s="89">
        <v>-0.98715895428588118</v>
      </c>
      <c r="EK27" s="89">
        <v>-1.1504501010044412</v>
      </c>
      <c r="EL27" s="89">
        <v>-4.899350560397258E-2</v>
      </c>
      <c r="EM27" s="89">
        <v>-0.7751913399371082</v>
      </c>
      <c r="EN27" s="89">
        <v>-0.79115464249116618</v>
      </c>
      <c r="EO27" s="89">
        <v>-1.0890988656664005</v>
      </c>
      <c r="EP27" s="89">
        <v>-1.1547750855267442</v>
      </c>
      <c r="EQ27" s="89">
        <v>-0.98390210660454425</v>
      </c>
      <c r="ER27" s="89">
        <v>-1.1294893448544816</v>
      </c>
    </row>
    <row r="28" spans="1:148" x14ac:dyDescent="0.25">
      <c r="A28" s="87">
        <v>660</v>
      </c>
      <c r="B28" s="87">
        <v>-1.8731447055083312</v>
      </c>
      <c r="C28" s="87">
        <v>-0.58264611928495014</v>
      </c>
      <c r="D28" s="87">
        <v>-0.62357313752650556</v>
      </c>
      <c r="E28" s="87">
        <v>0.613854114921632</v>
      </c>
      <c r="F28" s="87">
        <v>-0.36916771206357507</v>
      </c>
      <c r="G28" s="87">
        <v>-0.24720747299270668</v>
      </c>
      <c r="H28" s="87">
        <v>-1.3800357132724939</v>
      </c>
      <c r="I28" s="87">
        <v>-0.73974761158692826</v>
      </c>
      <c r="J28" s="87">
        <v>-1.9632417464125873</v>
      </c>
      <c r="K28" s="87">
        <v>-0.20669682847355042</v>
      </c>
      <c r="L28" s="87">
        <v>-0.36144078886654823</v>
      </c>
      <c r="M28" s="87">
        <v>-0.26262262080669135</v>
      </c>
      <c r="N28" s="87">
        <v>660</v>
      </c>
      <c r="O28" s="87">
        <v>-0.207963168</v>
      </c>
      <c r="P28" s="87">
        <v>0.31072502099999999</v>
      </c>
      <c r="Q28" s="87">
        <v>-2.0175240529999998</v>
      </c>
      <c r="R28" s="87">
        <v>0.95381530400000003</v>
      </c>
      <c r="S28" s="87">
        <v>-1.7215945E-2</v>
      </c>
      <c r="T28" s="87">
        <v>-0.28826713500000001</v>
      </c>
      <c r="U28" s="87">
        <v>-6.8227622000000002E-2</v>
      </c>
      <c r="V28" s="87">
        <v>-0.60459442200000002</v>
      </c>
      <c r="W28" s="87">
        <v>-0.65379255199999997</v>
      </c>
      <c r="X28" s="87">
        <v>1.4027153539999999</v>
      </c>
      <c r="Y28" s="87">
        <v>0.83652999900000002</v>
      </c>
      <c r="Z28" s="88">
        <v>-1.425432472</v>
      </c>
      <c r="AA28" s="88">
        <v>-0.63883447400000004</v>
      </c>
      <c r="AB28" s="88">
        <v>-0.81735084499999999</v>
      </c>
      <c r="AC28" s="88">
        <v>-0.67454522400000005</v>
      </c>
      <c r="AD28" s="88">
        <v>-0.73520449899999996</v>
      </c>
      <c r="AE28" s="88">
        <v>-0.60656657899999999</v>
      </c>
      <c r="AF28" s="89">
        <v>-0.82162243000000001</v>
      </c>
      <c r="AG28" s="89">
        <v>-0.274290537</v>
      </c>
      <c r="AH28" s="89">
        <v>-0.36788438899999998</v>
      </c>
      <c r="AI28" s="89">
        <v>-2.5536422449999998</v>
      </c>
      <c r="AJ28" s="89">
        <v>-1.405324719</v>
      </c>
      <c r="AK28" s="89">
        <v>-1.2958889769999999</v>
      </c>
      <c r="AL28" s="89">
        <v>-1.0467564949999999</v>
      </c>
      <c r="AM28" s="89">
        <v>-1.1547074450000001</v>
      </c>
      <c r="AN28" s="89">
        <v>-1.2367377260000001</v>
      </c>
      <c r="AO28" s="90">
        <v>-2.2148845189999999</v>
      </c>
      <c r="AP28" s="89">
        <v>-2.1228894519999999</v>
      </c>
      <c r="AQ28" s="89">
        <v>-0.99841001500000004</v>
      </c>
      <c r="AR28" s="89">
        <v>0.41176784399999999</v>
      </c>
      <c r="AS28" s="89">
        <v>-1.9994008000000001E-2</v>
      </c>
      <c r="AT28" s="89">
        <v>3.1732527830000001</v>
      </c>
      <c r="AU28" s="89">
        <v>0.195720004</v>
      </c>
      <c r="AV28" s="89">
        <v>1.060936455</v>
      </c>
      <c r="AW28" s="89">
        <v>-9.1076722999999998E-2</v>
      </c>
      <c r="AX28" s="89">
        <v>-8.2728448999999996E-2</v>
      </c>
      <c r="AY28" s="89">
        <v>-9.6759284000000001E-2</v>
      </c>
      <c r="AZ28" s="89">
        <v>-1.546979587</v>
      </c>
      <c r="BA28" s="89">
        <v>-2.79438655</v>
      </c>
      <c r="BB28" s="89">
        <v>-1.04736695</v>
      </c>
      <c r="BC28" s="89">
        <v>-1.149778185</v>
      </c>
      <c r="BD28" s="89">
        <v>-1.1025109179999999</v>
      </c>
      <c r="BE28" s="89">
        <v>-0.75337076199999997</v>
      </c>
      <c r="BF28" s="89">
        <v>-1.2548936100000001</v>
      </c>
      <c r="BG28" s="89">
        <v>-1.3531041420000001</v>
      </c>
      <c r="BH28" s="89">
        <v>-1.3169915089999999</v>
      </c>
      <c r="BI28" s="89">
        <v>-0.117979713</v>
      </c>
      <c r="BJ28" s="89">
        <v>-1.4764746369999999</v>
      </c>
      <c r="BK28" s="89">
        <v>-1.3966795080000001</v>
      </c>
      <c r="BL28" s="89">
        <v>-7.8319696999999994E-2</v>
      </c>
      <c r="BM28" s="89">
        <v>-3.9626809999999998E-2</v>
      </c>
      <c r="BN28" s="89">
        <v>-7.2178093999999998E-2</v>
      </c>
      <c r="BO28" s="89">
        <v>-2.4470888739999999</v>
      </c>
      <c r="BP28" s="89">
        <v>-9.0299543999999995E-2</v>
      </c>
      <c r="BQ28" s="89">
        <v>-0.10564738</v>
      </c>
      <c r="BR28" s="89">
        <v>0.74824315900000005</v>
      </c>
      <c r="BS28" s="89">
        <v>5.7146134000000001E-2</v>
      </c>
      <c r="BT28" s="89">
        <v>1.213145497</v>
      </c>
      <c r="BU28" s="89">
        <v>-7.4830342999999994E-2</v>
      </c>
      <c r="BV28" s="89">
        <v>-3.4008559000000001E-2</v>
      </c>
      <c r="BW28" s="88">
        <v>0.64231866199999998</v>
      </c>
      <c r="BX28" s="88">
        <v>0.55816082899999997</v>
      </c>
      <c r="BY28" s="88">
        <v>-0.120405837</v>
      </c>
      <c r="BZ28" s="88">
        <v>-0.103802977</v>
      </c>
      <c r="CA28" s="88">
        <v>-7.9838693000000002E-2</v>
      </c>
      <c r="CB28" s="88">
        <v>-7.5494552000000006E-2</v>
      </c>
      <c r="CC28" s="88">
        <v>-2.8095144999999998E-2</v>
      </c>
      <c r="CD28" s="88">
        <v>-5.5173975E-2</v>
      </c>
      <c r="CE28" s="88">
        <v>-0.68267324692548226</v>
      </c>
      <c r="CF28" s="88">
        <v>-1.1739044527211397</v>
      </c>
      <c r="CG28" s="88">
        <v>8.3713314488681106E-2</v>
      </c>
      <c r="CH28" s="88">
        <v>-1.0197521267708054</v>
      </c>
      <c r="CI28" s="88">
        <v>-0.33723737297827522</v>
      </c>
      <c r="CJ28" s="88">
        <v>-0.73480255055259081</v>
      </c>
      <c r="CK28" s="88">
        <v>-0.9524741510475192</v>
      </c>
      <c r="CL28" s="88">
        <v>-1.0794957801873817</v>
      </c>
      <c r="CM28" s="88">
        <v>-0.22104194204942762</v>
      </c>
      <c r="CN28" s="88">
        <v>-0.1443982412600246</v>
      </c>
      <c r="CO28" s="88">
        <v>0.3228879080804759</v>
      </c>
      <c r="CP28" s="88">
        <v>-1.0263827972858546</v>
      </c>
      <c r="CQ28" s="88">
        <v>-0.45309556158524678</v>
      </c>
      <c r="CR28" s="88">
        <v>-1.3335547838454742</v>
      </c>
      <c r="CS28" s="88">
        <v>-0.94107009464878721</v>
      </c>
      <c r="CT28" s="88">
        <v>4.9989592840448661E-2</v>
      </c>
      <c r="CU28" s="88">
        <v>-0.98779816694752265</v>
      </c>
      <c r="CV28" s="88">
        <v>-1.2556081307048133</v>
      </c>
      <c r="CW28" s="88">
        <v>-1.2828590969981553</v>
      </c>
      <c r="CX28" s="88">
        <v>-1.0308418240569519</v>
      </c>
      <c r="CY28" s="88">
        <v>-0.92892371357940806</v>
      </c>
      <c r="CZ28" s="88">
        <v>-0.38394945484028653</v>
      </c>
      <c r="DA28" s="88">
        <v>-0.81426606258151069</v>
      </c>
      <c r="DB28" s="88">
        <v>-0.22588299654587846</v>
      </c>
      <c r="DC28" s="88">
        <v>0.36770338962310062</v>
      </c>
      <c r="DD28" s="88">
        <v>-0.16248788801702432</v>
      </c>
      <c r="DE28" s="88">
        <v>-1.1241834454216866</v>
      </c>
      <c r="DF28" s="88">
        <v>0.2604304203527319</v>
      </c>
      <c r="DG28" s="88">
        <v>-1.0621026007295671</v>
      </c>
      <c r="DH28" s="88">
        <v>-4.546828049435081E-2</v>
      </c>
      <c r="DI28" s="88">
        <v>1.3294504560680434</v>
      </c>
      <c r="DJ28" s="88">
        <v>-0.57053602405943193</v>
      </c>
      <c r="DK28" s="88">
        <v>-0.86171157868602399</v>
      </c>
      <c r="DL28" s="88">
        <v>-0.89891614161865152</v>
      </c>
      <c r="DM28" s="88">
        <v>-1.0952117079678807</v>
      </c>
      <c r="DN28" s="88">
        <v>-0.63453459102577769</v>
      </c>
      <c r="DO28" s="88">
        <v>-0.67012129460578729</v>
      </c>
      <c r="DP28" s="88">
        <v>-0.95104586383273704</v>
      </c>
      <c r="DQ28" s="88">
        <v>-1.2622006159758503</v>
      </c>
      <c r="DR28" s="88">
        <v>-0.8040514164822401</v>
      </c>
      <c r="DS28" s="89">
        <v>-1.280278546133538</v>
      </c>
      <c r="DT28" s="89">
        <v>-8.7537572948607589E-2</v>
      </c>
      <c r="DU28" s="89">
        <v>-0.20337824986824282</v>
      </c>
      <c r="DV28" s="89">
        <v>-0.71944805344783458</v>
      </c>
      <c r="DW28" s="89">
        <v>-0.71568751572025768</v>
      </c>
      <c r="DX28" s="89">
        <v>-0.96635164877915658</v>
      </c>
      <c r="DY28" s="89">
        <v>-0.78902165951194891</v>
      </c>
      <c r="DZ28" s="89">
        <v>-1.0348376784865416</v>
      </c>
      <c r="EA28" s="89">
        <v>-1.1700939854680845</v>
      </c>
      <c r="EB28" s="89">
        <v>-1.2474612835503682</v>
      </c>
      <c r="EC28" s="89">
        <v>-1.2294954788649062</v>
      </c>
      <c r="ED28" s="89">
        <v>-1.3752135329390995</v>
      </c>
      <c r="EE28" s="89">
        <v>-0.84777393110574284</v>
      </c>
      <c r="EF28" s="89">
        <v>-1.0872937271532865</v>
      </c>
      <c r="EG28" s="89">
        <v>-0.55371526055042997</v>
      </c>
      <c r="EH28" s="89">
        <v>-0.57978543756230327</v>
      </c>
      <c r="EI28" s="89">
        <v>-0.59392653132737405</v>
      </c>
      <c r="EJ28" s="89">
        <v>-0.86335628253304963</v>
      </c>
      <c r="EK28" s="89">
        <v>-1.1767286216837831</v>
      </c>
      <c r="EL28" s="89">
        <v>0.10469130880409454</v>
      </c>
      <c r="EM28" s="89">
        <v>-0.73399506220604271</v>
      </c>
      <c r="EN28" s="89">
        <v>-0.63401236480566181</v>
      </c>
      <c r="EO28" s="89">
        <v>-1.0739923075244409</v>
      </c>
      <c r="EP28" s="89">
        <v>-1.1586842167858018</v>
      </c>
      <c r="EQ28" s="89">
        <v>-0.90001232080874305</v>
      </c>
      <c r="ER28" s="89">
        <v>-1.088741146630533</v>
      </c>
    </row>
    <row r="29" spans="1:148" x14ac:dyDescent="0.25">
      <c r="A29" s="87">
        <v>670</v>
      </c>
      <c r="B29" s="87">
        <v>-1.6185170382410823</v>
      </c>
      <c r="C29" s="87">
        <v>1.0820882217850079</v>
      </c>
      <c r="D29" s="87">
        <v>-5.705795818430095E-3</v>
      </c>
      <c r="E29" s="87">
        <v>0.46335040726705679</v>
      </c>
      <c r="F29" s="87">
        <v>-1.3137794183839653</v>
      </c>
      <c r="G29" s="87">
        <v>-0.49457140641135811</v>
      </c>
      <c r="H29" s="87">
        <v>-1.9764965758559532</v>
      </c>
      <c r="I29" s="87">
        <v>-1.1747123041895677</v>
      </c>
      <c r="J29" s="87">
        <v>-0.60980343198890985</v>
      </c>
      <c r="K29" s="87">
        <v>-1.1722585889370885</v>
      </c>
      <c r="L29" s="87">
        <v>-2.5654314667184028E-2</v>
      </c>
      <c r="M29" s="87">
        <v>-0.68653550272296626</v>
      </c>
      <c r="N29" s="87">
        <v>670</v>
      </c>
      <c r="O29" s="87">
        <v>-0.21182949000000001</v>
      </c>
      <c r="P29" s="87">
        <v>0.116618585</v>
      </c>
      <c r="Q29" s="87">
        <v>1.299506608</v>
      </c>
      <c r="R29" s="87">
        <v>1.012017561</v>
      </c>
      <c r="S29" s="87">
        <v>-4.6469198000000003E-2</v>
      </c>
      <c r="T29" s="87">
        <v>-0.41146236899999999</v>
      </c>
      <c r="U29" s="87">
        <v>-0.175485636</v>
      </c>
      <c r="V29" s="87">
        <v>-0.72762533699999998</v>
      </c>
      <c r="W29" s="87">
        <v>-0.76762478000000001</v>
      </c>
      <c r="X29" s="87">
        <v>2.1781748830000001</v>
      </c>
      <c r="Y29" s="87">
        <v>9.5718971E-2</v>
      </c>
      <c r="Z29" s="88">
        <v>-0.71354105000000001</v>
      </c>
      <c r="AA29" s="88">
        <v>-0.183142904</v>
      </c>
      <c r="AB29" s="88">
        <v>-0.50588659000000002</v>
      </c>
      <c r="AC29" s="88">
        <v>-0.26365284999999999</v>
      </c>
      <c r="AD29" s="88">
        <v>-0.38625795699999999</v>
      </c>
      <c r="AE29" s="88">
        <v>-0.126581106</v>
      </c>
      <c r="AF29" s="89">
        <v>-4.6951826000000002E-2</v>
      </c>
      <c r="AG29" s="89">
        <v>0.16598415399999999</v>
      </c>
      <c r="AH29" s="89">
        <v>-1.6387560649999999</v>
      </c>
      <c r="AI29" s="89">
        <v>-0.18211686699999999</v>
      </c>
      <c r="AJ29" s="89">
        <v>-0.77894447600000005</v>
      </c>
      <c r="AK29" s="89">
        <v>-0.87850681200000003</v>
      </c>
      <c r="AL29" s="89">
        <v>-0.69360295699999996</v>
      </c>
      <c r="AM29" s="89">
        <v>-0.64316491399999998</v>
      </c>
      <c r="AN29" s="89">
        <v>-0.75849486700000002</v>
      </c>
      <c r="AO29" s="90">
        <v>-1.7609052119999999</v>
      </c>
      <c r="AP29" s="89">
        <v>-1.4125358939999999</v>
      </c>
      <c r="AQ29" s="89">
        <v>2.0852257660000002</v>
      </c>
      <c r="AR29" s="89">
        <v>0.16786747699999999</v>
      </c>
      <c r="AS29" s="89">
        <v>-1.9994008000000001E-2</v>
      </c>
      <c r="AT29" s="89">
        <v>3.5611260329999999</v>
      </c>
      <c r="AU29" s="89">
        <v>0.25416614500000001</v>
      </c>
      <c r="AV29" s="89">
        <v>0.54332034900000004</v>
      </c>
      <c r="AW29" s="89">
        <v>-9.1076722999999998E-2</v>
      </c>
      <c r="AX29" s="89">
        <v>-2.4807271999999998E-2</v>
      </c>
      <c r="AY29" s="89">
        <v>-9.6759284000000001E-2</v>
      </c>
      <c r="AZ29" s="89">
        <v>-1.2024667149999999</v>
      </c>
      <c r="BA29" s="89">
        <v>-0.78696494400000006</v>
      </c>
      <c r="BB29" s="89">
        <v>-1.207075736</v>
      </c>
      <c r="BC29" s="89">
        <v>1.1831312810000001</v>
      </c>
      <c r="BD29" s="89">
        <v>1.3211655920000001</v>
      </c>
      <c r="BE29" s="89">
        <v>0.80205274500000001</v>
      </c>
      <c r="BF29" s="89">
        <v>1.974033524</v>
      </c>
      <c r="BG29" s="89">
        <v>1.74047069</v>
      </c>
      <c r="BH29" s="89">
        <v>1.5395921429999999</v>
      </c>
      <c r="BI29" s="89">
        <v>-8.1998741E-2</v>
      </c>
      <c r="BJ29" s="89">
        <v>0.96343042099999998</v>
      </c>
      <c r="BK29" s="89">
        <v>0.81588475100000002</v>
      </c>
      <c r="BL29" s="89">
        <v>-8.0418126000000006E-2</v>
      </c>
      <c r="BM29" s="89">
        <v>-3.3697402000000001E-2</v>
      </c>
      <c r="BN29" s="89">
        <v>-8.1416363000000005E-2</v>
      </c>
      <c r="BO29" s="89">
        <v>1.0826526320000001</v>
      </c>
      <c r="BP29" s="89">
        <v>-0.105729159</v>
      </c>
      <c r="BQ29" s="89">
        <v>-8.4674567000000006E-2</v>
      </c>
      <c r="BR29" s="89">
        <v>4.1673767E-2</v>
      </c>
      <c r="BS29" s="89">
        <v>-6.5686047999999997E-2</v>
      </c>
      <c r="BT29" s="89">
        <v>1.172102693</v>
      </c>
      <c r="BU29" s="89">
        <v>-9.2980573999999996E-2</v>
      </c>
      <c r="BV29" s="89">
        <v>-5.0131723000000003E-2</v>
      </c>
      <c r="BW29" s="88">
        <v>0.56447230699999995</v>
      </c>
      <c r="BX29" s="88">
        <v>0.61545338299999997</v>
      </c>
      <c r="BY29" s="88">
        <v>-0.13141647000000001</v>
      </c>
      <c r="BZ29" s="88">
        <v>-5.9484569000000001E-2</v>
      </c>
      <c r="CA29" s="88">
        <v>-0.120747151</v>
      </c>
      <c r="CB29" s="88">
        <v>-7.4822631000000001E-2</v>
      </c>
      <c r="CC29" s="88">
        <v>-2.8095337000000001E-2</v>
      </c>
      <c r="CD29" s="88">
        <v>-5.5173952999999998E-2</v>
      </c>
      <c r="CE29" s="88">
        <v>-0.52646103432465452</v>
      </c>
      <c r="CF29" s="88">
        <v>-1.242547826424806</v>
      </c>
      <c r="CG29" s="88">
        <v>2.832180965772238E-2</v>
      </c>
      <c r="CH29" s="88">
        <v>-1.0176209690480458</v>
      </c>
      <c r="CI29" s="88">
        <v>-0.44437947064836619</v>
      </c>
      <c r="CJ29" s="88">
        <v>-0.67491680845376012</v>
      </c>
      <c r="CK29" s="88">
        <v>-0.97498909448415882</v>
      </c>
      <c r="CL29" s="88">
        <v>-1.2137723755612928</v>
      </c>
      <c r="CM29" s="88">
        <v>-0.22716894237669533</v>
      </c>
      <c r="CN29" s="88">
        <v>-0.44052647156107255</v>
      </c>
      <c r="CO29" s="88">
        <v>0.35028524095225783</v>
      </c>
      <c r="CP29" s="88">
        <v>-1.0157476826744669</v>
      </c>
      <c r="CQ29" s="88">
        <v>-0.2182081011792911</v>
      </c>
      <c r="CR29" s="88">
        <v>-1.4954025068036605</v>
      </c>
      <c r="CS29" s="88">
        <v>-0.99232051744351646</v>
      </c>
      <c r="CT29" s="88">
        <v>0.19697464492662931</v>
      </c>
      <c r="CU29" s="88">
        <v>-0.98989163206259434</v>
      </c>
      <c r="CV29" s="88">
        <v>-1.2942614006885778</v>
      </c>
      <c r="CW29" s="88">
        <v>-1.3059843401632305</v>
      </c>
      <c r="CX29" s="88">
        <v>-1.1100586923182563</v>
      </c>
      <c r="CY29" s="88">
        <v>-0.92579331339234161</v>
      </c>
      <c r="CZ29" s="88">
        <v>-0.38773856808123502</v>
      </c>
      <c r="DA29" s="88">
        <v>-0.95629329818390407</v>
      </c>
      <c r="DB29" s="88">
        <v>-1.4146374823966006</v>
      </c>
      <c r="DC29" s="88">
        <v>0.15645821173542673</v>
      </c>
      <c r="DD29" s="88">
        <v>-5.5807924986465779E-2</v>
      </c>
      <c r="DE29" s="88">
        <v>-1.0570648911704044</v>
      </c>
      <c r="DF29" s="88">
        <v>-1.3946565749533189</v>
      </c>
      <c r="DG29" s="88">
        <v>-0.95682250176821315</v>
      </c>
      <c r="DH29" s="88">
        <v>-0.58792957692059344</v>
      </c>
      <c r="DI29" s="88">
        <v>1.3388616500969712</v>
      </c>
      <c r="DJ29" s="88">
        <v>-0.46233394605104644</v>
      </c>
      <c r="DK29" s="88">
        <v>-0.79698684451733381</v>
      </c>
      <c r="DL29" s="88">
        <v>-0.83478739971422422</v>
      </c>
      <c r="DM29" s="88">
        <v>-1.0100796853944409</v>
      </c>
      <c r="DN29" s="88">
        <v>-0.63220508061865299</v>
      </c>
      <c r="DO29" s="88">
        <v>-0.61757091078589932</v>
      </c>
      <c r="DP29" s="88">
        <v>-0.90783397683371303</v>
      </c>
      <c r="DQ29" s="88">
        <v>-1.3637905113303359</v>
      </c>
      <c r="DR29" s="88">
        <v>-1.3424765091956345</v>
      </c>
      <c r="DS29" s="89">
        <v>-1.2782839850523702</v>
      </c>
      <c r="DT29" s="89">
        <v>0.34788762726421518</v>
      </c>
      <c r="DU29" s="89">
        <v>-1.0835187986005264</v>
      </c>
      <c r="DV29" s="89">
        <v>-0.77557906186350367</v>
      </c>
      <c r="DW29" s="89">
        <v>-0.77372773368151426</v>
      </c>
      <c r="DX29" s="89">
        <v>-0.95778354985702696</v>
      </c>
      <c r="DY29" s="89">
        <v>-0.51511039323893537</v>
      </c>
      <c r="DZ29" s="89">
        <v>-1.0382711005186633</v>
      </c>
      <c r="EA29" s="89">
        <v>-1.1940279797363411</v>
      </c>
      <c r="EB29" s="89">
        <v>-1.2474612835503682</v>
      </c>
      <c r="EC29" s="89">
        <v>-1.3364535281316079</v>
      </c>
      <c r="ED29" s="89">
        <v>-1.4557571294892941</v>
      </c>
      <c r="EE29" s="89">
        <v>-0.92667643709199243</v>
      </c>
      <c r="EF29" s="89">
        <v>-1.0235398130119051</v>
      </c>
      <c r="EG29" s="89">
        <v>-0.36738728180898955</v>
      </c>
      <c r="EH29" s="89">
        <v>-0.44193927243592385</v>
      </c>
      <c r="EI29" s="89">
        <v>-0.47878044294087935</v>
      </c>
      <c r="EJ29" s="89">
        <v>-0.78848023624220831</v>
      </c>
      <c r="EK29" s="89">
        <v>-1.1865221510446109</v>
      </c>
      <c r="EL29" s="89">
        <v>0.35482169797734542</v>
      </c>
      <c r="EM29" s="89">
        <v>-0.67812227852177387</v>
      </c>
      <c r="EN29" s="89">
        <v>-0.68531078439584259</v>
      </c>
      <c r="EO29" s="89">
        <v>-1.0455700220230051</v>
      </c>
      <c r="EP29" s="89">
        <v>-1.1544544202323836</v>
      </c>
      <c r="EQ29" s="89">
        <v>-0.85543306166492794</v>
      </c>
      <c r="ER29" s="89">
        <v>-1.0810080395838706</v>
      </c>
    </row>
    <row r="30" spans="1:148" x14ac:dyDescent="0.25">
      <c r="A30" s="87">
        <v>680</v>
      </c>
      <c r="B30" s="87">
        <v>0.17979086183386422</v>
      </c>
      <c r="C30" s="87">
        <v>1.9538773828054055</v>
      </c>
      <c r="D30" s="87">
        <v>-1.0551814184767945E-2</v>
      </c>
      <c r="E30" s="87">
        <v>0.32340836330753941</v>
      </c>
      <c r="F30" s="87">
        <v>-0.23221657248552588</v>
      </c>
      <c r="G30" s="87">
        <v>0.71799689466046268</v>
      </c>
      <c r="H30" s="87">
        <v>-0.68319955989828995</v>
      </c>
      <c r="I30" s="87">
        <v>-0.32339103417584553</v>
      </c>
      <c r="J30" s="87">
        <v>1.8737116449682634</v>
      </c>
      <c r="K30" s="87">
        <v>0.78515497992340089</v>
      </c>
      <c r="L30" s="87">
        <v>0.38082404883730958</v>
      </c>
      <c r="M30" s="87">
        <v>0.38955104367988536</v>
      </c>
      <c r="N30" s="87">
        <v>680</v>
      </c>
      <c r="O30" s="87">
        <v>-0.21199341499999999</v>
      </c>
      <c r="P30" s="87">
        <v>-1.5276287E-2</v>
      </c>
      <c r="Q30" s="87">
        <v>2.60848681</v>
      </c>
      <c r="R30" s="87">
        <v>0.39067704399999997</v>
      </c>
      <c r="S30" s="87">
        <v>-4.4384991999999998E-2</v>
      </c>
      <c r="T30" s="87">
        <v>-2.4256024840000001</v>
      </c>
      <c r="U30" s="87">
        <v>-1.1144599930000001</v>
      </c>
      <c r="V30" s="87">
        <v>-0.71891384899999999</v>
      </c>
      <c r="W30" s="87">
        <v>-0.69817494300000005</v>
      </c>
      <c r="X30" s="87">
        <v>0.66826001599999996</v>
      </c>
      <c r="Y30" s="87">
        <v>-4.8393999999999998E-3</v>
      </c>
      <c r="Z30" s="88">
        <v>0.56108962500000004</v>
      </c>
      <c r="AA30" s="88">
        <v>0.86818989199999996</v>
      </c>
      <c r="AB30" s="88">
        <v>1.022180259</v>
      </c>
      <c r="AC30" s="88">
        <v>0.803222781</v>
      </c>
      <c r="AD30" s="88">
        <v>0.68367504499999998</v>
      </c>
      <c r="AE30" s="88">
        <v>0.905884562</v>
      </c>
      <c r="AF30" s="89">
        <v>1.917054571</v>
      </c>
      <c r="AG30" s="89">
        <v>1.4350247650000001</v>
      </c>
      <c r="AH30" s="89">
        <v>-0.84432415100000002</v>
      </c>
      <c r="AI30" s="89">
        <v>2.4212424170000002</v>
      </c>
      <c r="AJ30" s="89">
        <v>0.90846410200000005</v>
      </c>
      <c r="AK30" s="89">
        <v>0.79030165500000005</v>
      </c>
      <c r="AL30" s="89">
        <v>0.71746691299999998</v>
      </c>
      <c r="AM30" s="89">
        <v>1.0715031800000001</v>
      </c>
      <c r="AN30" s="89">
        <v>0.88864070100000003</v>
      </c>
      <c r="AO30" s="90">
        <v>1.4806827650000001</v>
      </c>
      <c r="AP30" s="89">
        <v>1.190369239</v>
      </c>
      <c r="AQ30" s="89">
        <v>1.7512191210000001</v>
      </c>
      <c r="AR30" s="89">
        <v>2.8341828999999999E-2</v>
      </c>
      <c r="AS30" s="89">
        <v>-1.9994008000000001E-2</v>
      </c>
      <c r="AT30" s="89">
        <v>1.1745502729999999</v>
      </c>
      <c r="AU30" s="89">
        <v>0.30393053599999997</v>
      </c>
      <c r="AV30" s="89">
        <v>0.19286283200000001</v>
      </c>
      <c r="AW30" s="89">
        <v>-9.1076722999999998E-2</v>
      </c>
      <c r="AX30" s="89">
        <v>7.8062740000000002E-3</v>
      </c>
      <c r="AY30" s="89">
        <v>-9.6759284000000001E-2</v>
      </c>
      <c r="AZ30" s="89">
        <v>1.1211983109999999</v>
      </c>
      <c r="BA30" s="89">
        <v>2.2740488870000002</v>
      </c>
      <c r="BB30" s="89">
        <v>0.95413419099999996</v>
      </c>
      <c r="BC30" s="89">
        <v>1.4084690600000001</v>
      </c>
      <c r="BD30" s="89">
        <v>1.3994826199999999</v>
      </c>
      <c r="BE30" s="89">
        <v>0.80393719299999999</v>
      </c>
      <c r="BF30" s="89">
        <v>1.997454176</v>
      </c>
      <c r="BG30" s="89">
        <v>1.811452692</v>
      </c>
      <c r="BH30" s="89">
        <v>1.830666812</v>
      </c>
      <c r="BI30" s="89">
        <v>-6.5713960000000002E-2</v>
      </c>
      <c r="BJ30" s="89">
        <v>1.419721904</v>
      </c>
      <c r="BK30" s="89">
        <v>1.430637793</v>
      </c>
      <c r="BL30" s="89">
        <v>-5.8836906000000001E-2</v>
      </c>
      <c r="BM30" s="89">
        <v>-3.2929881000000001E-2</v>
      </c>
      <c r="BN30" s="89">
        <v>-8.3083786000000007E-2</v>
      </c>
      <c r="BO30" s="89">
        <v>2.8799432450000002</v>
      </c>
      <c r="BP30" s="89">
        <v>-0.11599290299999999</v>
      </c>
      <c r="BQ30" s="89">
        <v>-9.7274805000000006E-2</v>
      </c>
      <c r="BR30" s="89">
        <v>-1.5110538E-2</v>
      </c>
      <c r="BS30" s="89">
        <v>-9.7374266000000001E-2</v>
      </c>
      <c r="BT30" s="89">
        <v>0.394580186</v>
      </c>
      <c r="BU30" s="89">
        <v>-5.8596936000000002E-2</v>
      </c>
      <c r="BV30" s="89">
        <v>-7.8846162999999997E-2</v>
      </c>
      <c r="BW30" s="88">
        <v>6.7623541999999995E-2</v>
      </c>
      <c r="BX30" s="88">
        <v>0.15954404999999999</v>
      </c>
      <c r="BY30" s="88">
        <v>-0.12580015899999999</v>
      </c>
      <c r="BZ30" s="88">
        <v>-0.1000481</v>
      </c>
      <c r="CA30" s="88">
        <v>-6.8500174999999996E-2</v>
      </c>
      <c r="CB30" s="88">
        <v>-8.7708341999999995E-2</v>
      </c>
      <c r="CC30" s="88">
        <v>-2.8095195999999999E-2</v>
      </c>
      <c r="CD30" s="88">
        <v>-5.5173965999999998E-2</v>
      </c>
      <c r="CE30" s="88">
        <v>-0.36793971700101646</v>
      </c>
      <c r="CF30" s="88">
        <v>-1.2673203010510301</v>
      </c>
      <c r="CG30" s="88">
        <v>7.299464500559176E-2</v>
      </c>
      <c r="CH30" s="88">
        <v>-0.99677895628295199</v>
      </c>
      <c r="CI30" s="88">
        <v>-0.39277551472677669</v>
      </c>
      <c r="CJ30" s="88">
        <v>-0.63428368752087905</v>
      </c>
      <c r="CK30" s="88">
        <v>-1.0094935722988259</v>
      </c>
      <c r="CL30" s="88">
        <v>-1.2411382807032727</v>
      </c>
      <c r="CM30" s="88">
        <v>-2.1213043754988608</v>
      </c>
      <c r="CN30" s="88">
        <v>-0.5971549181774678</v>
      </c>
      <c r="CO30" s="88">
        <v>0.45769478811812103</v>
      </c>
      <c r="CP30" s="88">
        <v>-1.0127940439815124</v>
      </c>
      <c r="CQ30" s="88">
        <v>4.5100263073717693E-2</v>
      </c>
      <c r="CR30" s="88">
        <v>-1.4409344923315535</v>
      </c>
      <c r="CS30" s="88">
        <v>-0.65503227634363559</v>
      </c>
      <c r="CT30" s="88">
        <v>0.34969030774246901</v>
      </c>
      <c r="CU30" s="88">
        <v>-0.91723582963625439</v>
      </c>
      <c r="CV30" s="88">
        <v>-1.3344823646383355</v>
      </c>
      <c r="CW30" s="88">
        <v>-1.3099991339699821</v>
      </c>
      <c r="CX30" s="88">
        <v>-1.1568652684412233</v>
      </c>
      <c r="CY30" s="88">
        <v>-0.8886847579304098</v>
      </c>
      <c r="CZ30" s="88">
        <v>-0.34626807829210615</v>
      </c>
      <c r="DA30" s="88">
        <v>-0.8368512615421313</v>
      </c>
      <c r="DB30" s="88">
        <v>-0.91861811797013471</v>
      </c>
      <c r="DC30" s="88">
        <v>0.1588070416735157</v>
      </c>
      <c r="DD30" s="88">
        <v>0.23568517785823567</v>
      </c>
      <c r="DE30" s="88">
        <v>-1.153579957363172</v>
      </c>
      <c r="DF30" s="88">
        <v>-8.3453311550922879E-2</v>
      </c>
      <c r="DG30" s="88">
        <v>-0.87970927356078887</v>
      </c>
      <c r="DH30" s="88">
        <v>-0.59251737571935581</v>
      </c>
      <c r="DI30" s="88">
        <v>1.7181340501155502</v>
      </c>
      <c r="DJ30" s="88">
        <v>-0.31515478795221935</v>
      </c>
      <c r="DK30" s="88">
        <v>-0.80774735984282153</v>
      </c>
      <c r="DL30" s="88">
        <v>-0.8307058386560664</v>
      </c>
      <c r="DM30" s="88">
        <v>-1.0513202373201969</v>
      </c>
      <c r="DN30" s="88">
        <v>-0.6252550625111446</v>
      </c>
      <c r="DO30" s="88">
        <v>-0.60716962081000347</v>
      </c>
      <c r="DP30" s="88">
        <v>-0.91787820301193013</v>
      </c>
      <c r="DQ30" s="88">
        <v>-1.4404366829957878</v>
      </c>
      <c r="DR30" s="88">
        <v>-0.96726188402799995</v>
      </c>
      <c r="DS30" s="89">
        <v>-1.3189759826441467</v>
      </c>
      <c r="DT30" s="89">
        <v>8.0960433954054223E-2</v>
      </c>
      <c r="DU30" s="89">
        <v>-1.4530024629001341</v>
      </c>
      <c r="DV30" s="89">
        <v>-0.76382447547292975</v>
      </c>
      <c r="DW30" s="89">
        <v>-0.7445659675821511</v>
      </c>
      <c r="DX30" s="89">
        <v>-0.69708934482422324</v>
      </c>
      <c r="DY30" s="89">
        <v>-0.45872551804350314</v>
      </c>
      <c r="DZ30" s="89">
        <v>-1.0756337653469454</v>
      </c>
      <c r="EA30" s="89">
        <v>-1.1338387385974138</v>
      </c>
      <c r="EB30" s="89">
        <v>-1.080774711186506</v>
      </c>
      <c r="EC30" s="89">
        <v>-1.2707699885191117</v>
      </c>
      <c r="ED30" s="89">
        <v>-1.1526980846320878</v>
      </c>
      <c r="EE30" s="89">
        <v>-0.86838503593832717</v>
      </c>
      <c r="EF30" s="89">
        <v>-0.92102393730865695</v>
      </c>
      <c r="EG30" s="89">
        <v>-0.17790093774078453</v>
      </c>
      <c r="EH30" s="89">
        <v>-0.25406517917850907</v>
      </c>
      <c r="EI30" s="89">
        <v>-0.24253249961961074</v>
      </c>
      <c r="EJ30" s="89">
        <v>-0.67429719990040737</v>
      </c>
      <c r="EK30" s="89">
        <v>-1.198047957548992</v>
      </c>
      <c r="EL30" s="89">
        <v>0.5875453404284483</v>
      </c>
      <c r="EM30" s="89">
        <v>-0.63717409812163395</v>
      </c>
      <c r="EN30" s="89">
        <v>-0.82993087269861565</v>
      </c>
      <c r="EO30" s="89">
        <v>-1.016351478740293</v>
      </c>
      <c r="EP30" s="89">
        <v>-1.1478561913029923</v>
      </c>
      <c r="EQ30" s="89">
        <v>-0.95470897587326609</v>
      </c>
      <c r="ER30" s="89">
        <v>-1.0835108051680127</v>
      </c>
    </row>
    <row r="31" spans="1:148" x14ac:dyDescent="0.25">
      <c r="A31" s="87">
        <v>690</v>
      </c>
      <c r="B31" s="87">
        <v>0.39551707993528351</v>
      </c>
      <c r="C31" s="87">
        <v>0.16073998701151282</v>
      </c>
      <c r="D31" s="87">
        <v>-0.71322447730375571</v>
      </c>
      <c r="E31" s="87">
        <v>0.35773377031647757</v>
      </c>
      <c r="F31" s="87">
        <v>0.89850822095375171</v>
      </c>
      <c r="G31" s="87">
        <v>3.6136099976199714</v>
      </c>
      <c r="H31" s="87">
        <v>-0.37049192320404889</v>
      </c>
      <c r="I31" s="87">
        <v>0.60468871100304855</v>
      </c>
      <c r="J31" s="87">
        <v>0.94709292970107228</v>
      </c>
      <c r="K31" s="87">
        <v>1.4591362087618112</v>
      </c>
      <c r="L31" s="87">
        <v>-0.80679969148886288</v>
      </c>
      <c r="M31" s="87">
        <v>2.2265068653170768</v>
      </c>
      <c r="N31" s="87">
        <v>690</v>
      </c>
      <c r="O31" s="87">
        <v>-0.21110230699999999</v>
      </c>
      <c r="P31" s="87">
        <v>-6.2263113000000002E-2</v>
      </c>
      <c r="Q31" s="87">
        <v>1.0689944760000001</v>
      </c>
      <c r="R31" s="87">
        <v>0.11340428600000001</v>
      </c>
      <c r="S31" s="87">
        <v>-4.7900751999999998E-2</v>
      </c>
      <c r="T31" s="87">
        <v>-2.862718621</v>
      </c>
      <c r="U31" s="87">
        <v>-2.6813090019999999</v>
      </c>
      <c r="V31" s="87">
        <v>-0.60236786899999994</v>
      </c>
      <c r="W31" s="87">
        <v>-0.601903835</v>
      </c>
      <c r="X31" s="87">
        <v>4.2044680000000003E-3</v>
      </c>
      <c r="Y31" s="87">
        <v>-1.1595437E-2</v>
      </c>
      <c r="Z31" s="88">
        <v>2.7266727039999998</v>
      </c>
      <c r="AA31" s="88">
        <v>2.5556146900000001</v>
      </c>
      <c r="AB31" s="88">
        <v>2.8792356049999999</v>
      </c>
      <c r="AC31" s="88">
        <v>2.4330089849999998</v>
      </c>
      <c r="AD31" s="88">
        <v>2.5231183449999999</v>
      </c>
      <c r="AE31" s="88">
        <v>2.6470778240000001</v>
      </c>
      <c r="AF31" s="89">
        <v>3.1964794790000002</v>
      </c>
      <c r="AG31" s="89">
        <v>3.1628963529999998</v>
      </c>
      <c r="AH31" s="89">
        <v>1.428251655</v>
      </c>
      <c r="AI31" s="89">
        <v>2.4006486050000002</v>
      </c>
      <c r="AJ31" s="89">
        <v>2.6399294109999998</v>
      </c>
      <c r="AK31" s="89">
        <v>2.708656934</v>
      </c>
      <c r="AL31" s="89">
        <v>2.698852424</v>
      </c>
      <c r="AM31" s="89">
        <v>2.817773146</v>
      </c>
      <c r="AN31" s="89">
        <v>2.7647544430000002</v>
      </c>
      <c r="AO31" s="90">
        <v>2.4752996380000001</v>
      </c>
      <c r="AP31" s="89">
        <v>1.8404821389999999</v>
      </c>
      <c r="AQ31" s="89">
        <v>7.4398048999999994E-2</v>
      </c>
      <c r="AR31" s="89">
        <v>-2.5847085999999998E-2</v>
      </c>
      <c r="AS31" s="89">
        <v>-1.9994008000000001E-2</v>
      </c>
      <c r="AT31" s="89">
        <v>0.23874257199999999</v>
      </c>
      <c r="AU31" s="89">
        <v>0.31351954500000001</v>
      </c>
      <c r="AV31" s="89">
        <v>8.5139778999999999E-2</v>
      </c>
      <c r="AW31" s="89">
        <v>-9.1076722999999998E-2</v>
      </c>
      <c r="AX31" s="89">
        <v>3.2067079999999998E-2</v>
      </c>
      <c r="AY31" s="89">
        <v>-9.6759284000000001E-2</v>
      </c>
      <c r="AZ31" s="89">
        <v>2.6393523970000001</v>
      </c>
      <c r="BA31" s="89">
        <v>1.9937556789999999</v>
      </c>
      <c r="BB31" s="89">
        <v>2.3526961800000001</v>
      </c>
      <c r="BC31" s="89">
        <v>0.12271710800000001</v>
      </c>
      <c r="BD31" s="89">
        <v>0.31454030399999999</v>
      </c>
      <c r="BE31" s="89">
        <v>8.0610612999999998E-2</v>
      </c>
      <c r="BF31" s="89">
        <v>0.27993974199999999</v>
      </c>
      <c r="BG31" s="89">
        <v>0.158881419</v>
      </c>
      <c r="BH31" s="89">
        <v>0.444547737</v>
      </c>
      <c r="BI31" s="89">
        <v>-7.4003159999999998E-2</v>
      </c>
      <c r="BJ31" s="89">
        <v>0.24173913799999999</v>
      </c>
      <c r="BK31" s="89">
        <v>0.33340947999999998</v>
      </c>
      <c r="BL31" s="89">
        <v>-4.4639686999999997E-2</v>
      </c>
      <c r="BM31" s="89">
        <v>-7.0825915000000003E-2</v>
      </c>
      <c r="BN31" s="89">
        <v>-8.6570468999999997E-2</v>
      </c>
      <c r="BO31" s="89">
        <v>1.408480017</v>
      </c>
      <c r="BP31" s="89">
        <v>-0.11616462700000001</v>
      </c>
      <c r="BQ31" s="89">
        <v>-0.101461092</v>
      </c>
      <c r="BR31" s="89">
        <v>-1.5110538E-2</v>
      </c>
      <c r="BS31" s="89">
        <v>-9.3122870999999996E-2</v>
      </c>
      <c r="BT31" s="89">
        <v>7.5377119000000006E-2</v>
      </c>
      <c r="BU31" s="89">
        <v>2.9452757999999999E-2</v>
      </c>
      <c r="BV31" s="89">
        <v>-5.0849229999999999E-3</v>
      </c>
      <c r="BW31" s="88">
        <v>-6.5680340000000004E-3</v>
      </c>
      <c r="BX31" s="88">
        <v>-6.7176199999999997E-3</v>
      </c>
      <c r="BY31" s="88">
        <v>-4.2430170000000003E-2</v>
      </c>
      <c r="BZ31" s="88">
        <v>-0.15959406200000001</v>
      </c>
      <c r="CA31" s="88">
        <v>-2.3275087E-2</v>
      </c>
      <c r="CB31" s="88">
        <v>-0.14634543999999999</v>
      </c>
      <c r="CC31" s="88">
        <v>-1.9640535000000001E-2</v>
      </c>
      <c r="CD31" s="88">
        <v>-5.5173514999999999E-2</v>
      </c>
      <c r="CE31" s="88">
        <v>-0.45670931435503054</v>
      </c>
      <c r="CF31" s="88">
        <v>-1.2845072352207416</v>
      </c>
      <c r="CG31" s="88">
        <v>0.16465638117545103</v>
      </c>
      <c r="CH31" s="88">
        <v>-1.0390930240629725</v>
      </c>
      <c r="CI31" s="88">
        <v>-0.43229200804178441</v>
      </c>
      <c r="CJ31" s="88">
        <v>-0.21184640334829377</v>
      </c>
      <c r="CK31" s="88">
        <v>-1.1973693737408353</v>
      </c>
      <c r="CL31" s="88">
        <v>-1.497147044422541</v>
      </c>
      <c r="CM31" s="88">
        <v>0.10763712546893647</v>
      </c>
      <c r="CN31" s="88">
        <v>-0.88710694790214628</v>
      </c>
      <c r="CO31" s="88">
        <v>0.26687713542493596</v>
      </c>
      <c r="CP31" s="88">
        <v>-0.96808020530948369</v>
      </c>
      <c r="CQ31" s="88">
        <v>0.29048637668268235</v>
      </c>
      <c r="CR31" s="88">
        <v>-1.7832751252082828</v>
      </c>
      <c r="CS31" s="88">
        <v>-1.0593945724333755</v>
      </c>
      <c r="CT31" s="88">
        <v>0.45093269397112945</v>
      </c>
      <c r="CU31" s="88">
        <v>-1.0880813204312361</v>
      </c>
      <c r="CV31" s="88">
        <v>-1.4034165673906323</v>
      </c>
      <c r="CW31" s="88">
        <v>-1.3474364494307558</v>
      </c>
      <c r="CX31" s="88">
        <v>-1.2552110071235989</v>
      </c>
      <c r="CY31" s="88">
        <v>-0.95295352173618608</v>
      </c>
      <c r="CZ31" s="88">
        <v>-0.41125843299126219</v>
      </c>
      <c r="DA31" s="88">
        <v>-0.91533327045670421</v>
      </c>
      <c r="DB31" s="88">
        <v>-2.2386810136057824</v>
      </c>
      <c r="DC31" s="88">
        <v>3.5747750664431761E-2</v>
      </c>
      <c r="DD31" s="88">
        <v>0.42454640397023247</v>
      </c>
      <c r="DE31" s="88">
        <v>-1.1712746183144496</v>
      </c>
      <c r="DF31" s="88">
        <v>1.1310787838063385</v>
      </c>
      <c r="DG31" s="88">
        <v>-0.69597278565484133</v>
      </c>
      <c r="DH31" s="88">
        <v>-0.55959859859533534</v>
      </c>
      <c r="DI31" s="88">
        <v>1.84623450403352</v>
      </c>
      <c r="DJ31" s="88">
        <v>-0.30663858535921923</v>
      </c>
      <c r="DK31" s="88">
        <v>-0.7608548478041931</v>
      </c>
      <c r="DL31" s="88">
        <v>-0.81282936305133191</v>
      </c>
      <c r="DM31" s="88">
        <v>-0.97172896821421439</v>
      </c>
      <c r="DN31" s="88">
        <v>-0.61893304505355196</v>
      </c>
      <c r="DO31" s="88">
        <v>-0.69667424001715639</v>
      </c>
      <c r="DP31" s="88">
        <v>-0.99138748772530416</v>
      </c>
      <c r="DQ31" s="88">
        <v>-0.95908381719729652</v>
      </c>
      <c r="DR31" s="88">
        <v>-0.55579729643513986</v>
      </c>
      <c r="DS31" s="89">
        <v>-1.3788429528492196</v>
      </c>
      <c r="DT31" s="89">
        <v>0.54336087296859492</v>
      </c>
      <c r="DU31" s="89">
        <v>-0.82429823633538202</v>
      </c>
      <c r="DV31" s="89">
        <v>-0.50545927234518173</v>
      </c>
      <c r="DW31" s="89">
        <v>-0.71571958903011901</v>
      </c>
      <c r="DX31" s="89">
        <v>-1.0104357888120763</v>
      </c>
      <c r="DY31" s="89">
        <v>-0.83307407843881787</v>
      </c>
      <c r="DZ31" s="89">
        <v>-0.93221383055614782</v>
      </c>
      <c r="EA31" s="89">
        <v>-1.0632748815466386</v>
      </c>
      <c r="EB31" s="89">
        <v>-1.0807730443041279</v>
      </c>
      <c r="EC31" s="89">
        <v>-1.2702869879823167</v>
      </c>
      <c r="ED31" s="89">
        <v>-1.1040620690913903</v>
      </c>
      <c r="EE31" s="89">
        <v>-0.8154469871651997</v>
      </c>
      <c r="EF31" s="89">
        <v>-0.8020284360948039</v>
      </c>
      <c r="EG31" s="89">
        <v>5.5949945586305306E-3</v>
      </c>
      <c r="EH31" s="89">
        <v>-0.12990533059149142</v>
      </c>
      <c r="EI31" s="89">
        <v>0.20541894434297195</v>
      </c>
      <c r="EJ31" s="89">
        <v>-0.57812306048656281</v>
      </c>
      <c r="EK31" s="89">
        <v>-1.2858841156633025</v>
      </c>
      <c r="EL31" s="89">
        <v>0.78276853499505561</v>
      </c>
      <c r="EM31" s="89">
        <v>-0.61162029548167907</v>
      </c>
      <c r="EN31" s="89">
        <v>-0.72931551522227089</v>
      </c>
      <c r="EO31" s="89">
        <v>-0.96821519143987478</v>
      </c>
      <c r="EP31" s="89">
        <v>-1.1221915583597948</v>
      </c>
      <c r="EQ31" s="89">
        <v>-0.91729169969502422</v>
      </c>
      <c r="ER31" s="89">
        <v>-1.0304049496555154</v>
      </c>
    </row>
    <row r="32" spans="1:148" x14ac:dyDescent="0.25">
      <c r="A32" s="87">
        <v>700</v>
      </c>
      <c r="B32" s="87">
        <v>-1.2931594633995971</v>
      </c>
      <c r="C32" s="87">
        <v>-1.1570808377867625</v>
      </c>
      <c r="D32" s="87">
        <v>-0.95310238643747913</v>
      </c>
      <c r="E32" s="87">
        <v>0.66930284932068607</v>
      </c>
      <c r="F32" s="87">
        <v>-0.14793894812980335</v>
      </c>
      <c r="G32" s="87">
        <v>2.0178701134094545</v>
      </c>
      <c r="H32" s="87">
        <v>-0.57896368100020956</v>
      </c>
      <c r="I32" s="87">
        <v>0.9698729716373502</v>
      </c>
      <c r="J32" s="87">
        <v>-0.12769631998831871</v>
      </c>
      <c r="K32" s="87">
        <v>1.2990059168037491</v>
      </c>
      <c r="L32" s="87">
        <v>-1.4288883173740008</v>
      </c>
      <c r="M32" s="87">
        <v>2.4873763311117076</v>
      </c>
      <c r="N32" s="87">
        <v>700</v>
      </c>
      <c r="O32" s="87">
        <v>-0.21056291499999999</v>
      </c>
      <c r="P32" s="87">
        <v>-7.3876404000000007E-2</v>
      </c>
      <c r="Q32" s="87">
        <v>0.22372461599999999</v>
      </c>
      <c r="R32" s="87">
        <v>4.2467580999999997E-2</v>
      </c>
      <c r="S32" s="87">
        <v>-5.9425160999999997E-2</v>
      </c>
      <c r="T32" s="87">
        <v>-1.4408307899999999</v>
      </c>
      <c r="U32" s="87">
        <v>-3.4797549189999999</v>
      </c>
      <c r="V32" s="87">
        <v>-0.49773113699999999</v>
      </c>
      <c r="W32" s="87">
        <v>-0.636307332</v>
      </c>
      <c r="X32" s="87">
        <v>-0.10654669</v>
      </c>
      <c r="Y32" s="87">
        <v>-1.12429E-2</v>
      </c>
      <c r="Z32" s="88">
        <v>4.1450319369999997</v>
      </c>
      <c r="AA32" s="88">
        <v>3.549933668</v>
      </c>
      <c r="AB32" s="88">
        <v>3.6572802019999999</v>
      </c>
      <c r="AC32" s="88">
        <v>3.308511158</v>
      </c>
      <c r="AD32" s="88">
        <v>3.6595263220000001</v>
      </c>
      <c r="AE32" s="88">
        <v>3.754414965</v>
      </c>
      <c r="AF32" s="89">
        <v>3.282538046</v>
      </c>
      <c r="AG32" s="89">
        <v>3.3989080889999999</v>
      </c>
      <c r="AH32" s="89">
        <v>2.2177959980000002</v>
      </c>
      <c r="AI32" s="89">
        <v>1.673835534</v>
      </c>
      <c r="AJ32" s="89">
        <v>3.3121097079999999</v>
      </c>
      <c r="AK32" s="89">
        <v>3.573955685</v>
      </c>
      <c r="AL32" s="89">
        <v>3.7509447260000002</v>
      </c>
      <c r="AM32" s="89">
        <v>3.4437667510000001</v>
      </c>
      <c r="AN32" s="89">
        <v>3.5820938550000001</v>
      </c>
      <c r="AO32" s="90">
        <v>1.3189535269999999</v>
      </c>
      <c r="AP32" s="89">
        <v>1.4248892179999999</v>
      </c>
      <c r="AQ32" s="89">
        <v>-4.9345679000000003E-2</v>
      </c>
      <c r="AR32" s="89">
        <v>-2.6463151000000001E-2</v>
      </c>
      <c r="AS32" s="89">
        <v>-1.9994008000000001E-2</v>
      </c>
      <c r="AT32" s="89">
        <v>-1.2589873999999999E-2</v>
      </c>
      <c r="AU32" s="89">
        <v>0.28987564399999999</v>
      </c>
      <c r="AV32" s="89">
        <v>2.0220925000000001E-2</v>
      </c>
      <c r="AW32" s="89">
        <v>-9.1076722999999998E-2</v>
      </c>
      <c r="AX32" s="89">
        <v>3.5170796999999997E-2</v>
      </c>
      <c r="AY32" s="89">
        <v>-9.6759284000000001E-2</v>
      </c>
      <c r="AZ32" s="89">
        <v>2.5795039329999998</v>
      </c>
      <c r="BA32" s="89">
        <v>1.144550857</v>
      </c>
      <c r="BB32" s="89">
        <v>2.2221186130000001</v>
      </c>
      <c r="BC32" s="89">
        <v>-0.115880447</v>
      </c>
      <c r="BD32" s="89">
        <v>8.6055762999999993E-2</v>
      </c>
      <c r="BE32" s="89">
        <v>-8.1904195999999999E-2</v>
      </c>
      <c r="BF32" s="89">
        <v>-5.2633507000000003E-2</v>
      </c>
      <c r="BG32" s="89">
        <v>-0.11126367700000001</v>
      </c>
      <c r="BH32" s="89">
        <v>9.8689838000000002E-2</v>
      </c>
      <c r="BI32" s="89">
        <v>-7.2696026999999996E-2</v>
      </c>
      <c r="BJ32" s="89">
        <v>-6.1763548000000001E-2</v>
      </c>
      <c r="BK32" s="89">
        <v>-6.5963839999999996E-2</v>
      </c>
      <c r="BL32" s="89">
        <v>-4.3676130000000001E-2</v>
      </c>
      <c r="BM32" s="89">
        <v>-7.8732685999999996E-2</v>
      </c>
      <c r="BN32" s="89">
        <v>-0.10426026100000001</v>
      </c>
      <c r="BO32" s="89">
        <v>0.54232414699999998</v>
      </c>
      <c r="BP32" s="89">
        <v>-0.116336146</v>
      </c>
      <c r="BQ32" s="89">
        <v>-0.101461092</v>
      </c>
      <c r="BR32" s="89">
        <v>-1.5110538E-2</v>
      </c>
      <c r="BS32" s="89">
        <v>-9.0110086000000006E-2</v>
      </c>
      <c r="BT32" s="89">
        <v>-4.6699999999999997E-3</v>
      </c>
      <c r="BU32" s="89">
        <v>8.9511348000000004E-2</v>
      </c>
      <c r="BV32" s="89">
        <v>6.255513E-2</v>
      </c>
      <c r="BW32" s="88">
        <v>1.8063610000000001E-2</v>
      </c>
      <c r="BX32" s="88">
        <v>-2.0080519000000002E-2</v>
      </c>
      <c r="BY32" s="88">
        <v>-4.5414490000000004E-3</v>
      </c>
      <c r="BZ32" s="88">
        <v>-0.152934195</v>
      </c>
      <c r="CA32" s="88">
        <v>-2.2885208000000001E-2</v>
      </c>
      <c r="CB32" s="88">
        <v>-0.22407239000000001</v>
      </c>
      <c r="CC32" s="88">
        <v>-1.1186059E-2</v>
      </c>
      <c r="CD32" s="88">
        <v>-5.5173017999999997E-2</v>
      </c>
      <c r="CE32" s="88">
        <v>-0.56033216393346219</v>
      </c>
      <c r="CF32" s="88">
        <v>-1.2961958884367919</v>
      </c>
      <c r="CG32" s="88">
        <v>0.21492773402058618</v>
      </c>
      <c r="CH32" s="88">
        <v>-1.0642043663293126</v>
      </c>
      <c r="CI32" s="88">
        <v>-0.52454212304256342</v>
      </c>
      <c r="CJ32" s="88">
        <v>-0.26466344800285768</v>
      </c>
      <c r="CK32" s="88">
        <v>-1.3456854604406374</v>
      </c>
      <c r="CL32" s="88">
        <v>-1.4382728563171925</v>
      </c>
      <c r="CM32" s="88">
        <v>2.6027425763052623</v>
      </c>
      <c r="CN32" s="88">
        <v>-1.1450250839707918</v>
      </c>
      <c r="CO32" s="88">
        <v>8.5350158513490523E-2</v>
      </c>
      <c r="CP32" s="88">
        <v>-0.92684643862559013</v>
      </c>
      <c r="CQ32" s="88">
        <v>0.40128989497503725</v>
      </c>
      <c r="CR32" s="88">
        <v>-2.0930737567934385</v>
      </c>
      <c r="CS32" s="88">
        <v>-1.4925074884513869</v>
      </c>
      <c r="CT32" s="88">
        <v>0.46524646010363463</v>
      </c>
      <c r="CU32" s="88">
        <v>-1.238677134478303</v>
      </c>
      <c r="CV32" s="88">
        <v>-1.339910178352542</v>
      </c>
      <c r="CW32" s="88">
        <v>-1.3305938551839331</v>
      </c>
      <c r="CX32" s="88">
        <v>-1.1864017687771511</v>
      </c>
      <c r="CY32" s="88">
        <v>-0.90671519758492913</v>
      </c>
      <c r="CZ32" s="88">
        <v>-0.52087564971840572</v>
      </c>
      <c r="DA32" s="88">
        <v>-1.2836360673965561</v>
      </c>
      <c r="DB32" s="88">
        <v>-1.0220741442021126</v>
      </c>
      <c r="DC32" s="88">
        <v>-0.13892064686872915</v>
      </c>
      <c r="DD32" s="88">
        <v>0.4653936333394314</v>
      </c>
      <c r="DE32" s="88">
        <v>-1.1368494174924597</v>
      </c>
      <c r="DF32" s="88">
        <v>-1.2549539124000684</v>
      </c>
      <c r="DG32" s="88">
        <v>-0.73360103866073267</v>
      </c>
      <c r="DH32" s="88">
        <v>-0.81814550512839523</v>
      </c>
      <c r="DI32" s="88">
        <v>1.6145708954109885</v>
      </c>
      <c r="DJ32" s="88">
        <v>-0.1011925694833426</v>
      </c>
      <c r="DK32" s="88">
        <v>-0.66284671147470287</v>
      </c>
      <c r="DL32" s="88">
        <v>-0.74790007819578996</v>
      </c>
      <c r="DM32" s="88">
        <v>-0.88668121214452456</v>
      </c>
      <c r="DN32" s="88">
        <v>-0.61654855852259605</v>
      </c>
      <c r="DO32" s="88">
        <v>-0.68969279002775941</v>
      </c>
      <c r="DP32" s="88">
        <v>-1.0415055186591298</v>
      </c>
      <c r="DQ32" s="88">
        <v>-0.41817687100091933</v>
      </c>
      <c r="DR32" s="88">
        <v>-0.83365338556023383</v>
      </c>
      <c r="DS32" s="89">
        <v>-1.3929006371391655</v>
      </c>
      <c r="DT32" s="89">
        <v>1.20415617993813</v>
      </c>
      <c r="DU32" s="89">
        <v>-1.5055533891120281</v>
      </c>
      <c r="DV32" s="89">
        <v>-0.35273575467959023</v>
      </c>
      <c r="DW32" s="89">
        <v>-0.7287698624574469</v>
      </c>
      <c r="DX32" s="89">
        <v>-1.2953202802396917</v>
      </c>
      <c r="DY32" s="89">
        <v>-1.0689600332045748</v>
      </c>
      <c r="DZ32" s="89">
        <v>-0.89086490502762883</v>
      </c>
      <c r="EA32" s="89">
        <v>-1.0390875644549911</v>
      </c>
      <c r="EB32" s="89">
        <v>-1.2474579497856211</v>
      </c>
      <c r="EC32" s="89">
        <v>-1.3556320418476104</v>
      </c>
      <c r="ED32" s="89">
        <v>-1.2883781244046932</v>
      </c>
      <c r="EE32" s="89">
        <v>-0.90660126159472365</v>
      </c>
      <c r="EF32" s="89">
        <v>-0.75149615131401759</v>
      </c>
      <c r="EG32" s="89">
        <v>8.9200673347965415E-2</v>
      </c>
      <c r="EH32" s="89">
        <v>-0.12293533578379309</v>
      </c>
      <c r="EI32" s="89">
        <v>0.44098081022830643</v>
      </c>
      <c r="EJ32" s="89">
        <v>-0.55633984771100364</v>
      </c>
      <c r="EK32" s="89">
        <v>-1.3902375225731791</v>
      </c>
      <c r="EL32" s="89">
        <v>0.92517799315326088</v>
      </c>
      <c r="EM32" s="89">
        <v>-0.6042361140791519</v>
      </c>
      <c r="EN32" s="89">
        <v>-0.61737963579532829</v>
      </c>
      <c r="EO32" s="89">
        <v>-0.93371333012267677</v>
      </c>
      <c r="EP32" s="89">
        <v>-1.102875385382686</v>
      </c>
      <c r="EQ32" s="89">
        <v>-0.98179871568638188</v>
      </c>
      <c r="ER32" s="89">
        <v>-1.0758406616333649</v>
      </c>
    </row>
    <row r="33" spans="2:30" x14ac:dyDescent="0.25">
      <c r="Z33" s="87"/>
      <c r="AA33" s="87"/>
      <c r="AB33" s="87"/>
      <c r="AC33" s="87"/>
      <c r="AD33" s="87"/>
    </row>
    <row r="34" spans="2:30" x14ac:dyDescent="0.25">
      <c r="B34"/>
      <c r="C34"/>
      <c r="D34"/>
      <c r="E34"/>
      <c r="F34"/>
      <c r="G34"/>
      <c r="H34"/>
      <c r="I34"/>
      <c r="J34"/>
      <c r="K34"/>
      <c r="L34"/>
      <c r="M34"/>
      <c r="Z34" s="87"/>
      <c r="AA34" s="87"/>
      <c r="AB34" s="87"/>
      <c r="AC34" s="87"/>
      <c r="AD34" s="87"/>
    </row>
    <row r="35" spans="2:30" x14ac:dyDescent="0.25">
      <c r="B35"/>
      <c r="C35"/>
      <c r="D35"/>
      <c r="E35"/>
      <c r="F35"/>
      <c r="G35"/>
      <c r="H35"/>
      <c r="I35"/>
      <c r="J35"/>
      <c r="K35"/>
      <c r="L35"/>
      <c r="M35"/>
      <c r="Z35" s="87"/>
      <c r="AA35" s="87"/>
      <c r="AB35" s="87"/>
      <c r="AC35" s="87"/>
      <c r="AD35" s="87"/>
    </row>
    <row r="36" spans="2:30" x14ac:dyDescent="0.25">
      <c r="Z36" s="87"/>
      <c r="AA36" s="87"/>
      <c r="AB36" s="87"/>
      <c r="AC36" s="87"/>
      <c r="AD36" s="87"/>
    </row>
    <row r="37" spans="2:30" x14ac:dyDescent="0.25">
      <c r="Z37" s="87"/>
      <c r="AA37" s="87"/>
      <c r="AB37" s="87"/>
      <c r="AC37" s="87"/>
      <c r="AD37" s="87"/>
    </row>
    <row r="38" spans="2:30" x14ac:dyDescent="0.25">
      <c r="Z38" s="87"/>
      <c r="AA38" s="87"/>
      <c r="AB38" s="87"/>
      <c r="AC38" s="87"/>
      <c r="AD38" s="87"/>
    </row>
    <row r="39" spans="2:30" x14ac:dyDescent="0.25">
      <c r="Z39" s="87"/>
      <c r="AA39" s="87"/>
      <c r="AB39" s="87"/>
      <c r="AC39" s="87"/>
      <c r="AD39" s="87"/>
    </row>
    <row r="40" spans="2:30" x14ac:dyDescent="0.25">
      <c r="Z40" s="87"/>
      <c r="AA40" s="87"/>
      <c r="AB40" s="87"/>
      <c r="AC40" s="87"/>
      <c r="AD40" s="87"/>
    </row>
    <row r="41" spans="2:30" x14ac:dyDescent="0.25">
      <c r="Z41" s="87"/>
      <c r="AA41" s="87"/>
      <c r="AB41" s="87"/>
      <c r="AC41" s="87"/>
      <c r="AD41" s="87"/>
    </row>
    <row r="42" spans="2:30" x14ac:dyDescent="0.25">
      <c r="Z42" s="87"/>
      <c r="AA42" s="87"/>
      <c r="AB42" s="87"/>
      <c r="AC42" s="87"/>
      <c r="AD42" s="87"/>
    </row>
    <row r="43" spans="2:30" x14ac:dyDescent="0.25">
      <c r="Z43" s="87"/>
      <c r="AA43" s="87"/>
      <c r="AB43" s="87"/>
      <c r="AC43" s="87"/>
      <c r="AD43" s="87"/>
    </row>
    <row r="44" spans="2:30" x14ac:dyDescent="0.25">
      <c r="Z44" s="87"/>
      <c r="AA44" s="87"/>
      <c r="AB44" s="87"/>
      <c r="AC44" s="87"/>
      <c r="AD44" s="87"/>
    </row>
    <row r="45" spans="2:30" x14ac:dyDescent="0.25">
      <c r="Z45" s="87"/>
      <c r="AA45" s="87"/>
      <c r="AB45" s="87"/>
      <c r="AC45" s="87"/>
      <c r="AD45" s="87"/>
    </row>
    <row r="46" spans="2:30" x14ac:dyDescent="0.25">
      <c r="Z46" s="87"/>
      <c r="AA46" s="87"/>
      <c r="AB46" s="87"/>
      <c r="AC46" s="87"/>
      <c r="AD46" s="87"/>
    </row>
    <row r="47" spans="2:30" x14ac:dyDescent="0.25">
      <c r="Z47" s="87"/>
      <c r="AA47" s="87"/>
      <c r="AB47" s="87"/>
      <c r="AC47" s="87"/>
      <c r="AD47" s="87"/>
    </row>
    <row r="48" spans="2:30" x14ac:dyDescent="0.25">
      <c r="Z48" s="87"/>
      <c r="AA48" s="87"/>
      <c r="AB48" s="87"/>
      <c r="AC48" s="87"/>
      <c r="AD48" s="87"/>
    </row>
    <row r="49" spans="26:30" x14ac:dyDescent="0.25">
      <c r="Z49" s="87"/>
      <c r="AA49" s="87"/>
      <c r="AB49" s="87"/>
      <c r="AC49" s="87"/>
      <c r="AD49" s="87"/>
    </row>
    <row r="50" spans="26:30" x14ac:dyDescent="0.25">
      <c r="Z50" s="87"/>
      <c r="AA50" s="87"/>
      <c r="AB50" s="87"/>
      <c r="AC50" s="87"/>
      <c r="AD50" s="87"/>
    </row>
    <row r="51" spans="26:30" x14ac:dyDescent="0.25">
      <c r="Z51" s="87"/>
      <c r="AA51" s="87"/>
      <c r="AB51" s="87"/>
      <c r="AC51" s="87"/>
      <c r="AD51" s="87"/>
    </row>
    <row r="52" spans="26:30" x14ac:dyDescent="0.25">
      <c r="Z52" s="87"/>
      <c r="AA52" s="87"/>
      <c r="AB52" s="87"/>
      <c r="AC52" s="87"/>
      <c r="AD52" s="87"/>
    </row>
    <row r="53" spans="26:30" x14ac:dyDescent="0.25">
      <c r="Z53" s="87"/>
      <c r="AA53" s="87"/>
      <c r="AB53" s="87"/>
      <c r="AC53" s="87"/>
      <c r="AD53" s="87"/>
    </row>
    <row r="54" spans="26:30" x14ac:dyDescent="0.25">
      <c r="Z54" s="87"/>
      <c r="AA54" s="87"/>
      <c r="AB54" s="87"/>
      <c r="AC54" s="87"/>
      <c r="AD54" s="87"/>
    </row>
    <row r="55" spans="26:30" x14ac:dyDescent="0.25">
      <c r="Z55" s="87"/>
      <c r="AA55" s="87"/>
      <c r="AB55" s="87"/>
      <c r="AC55" s="87"/>
      <c r="AD55" s="87"/>
    </row>
    <row r="56" spans="26:30" x14ac:dyDescent="0.25">
      <c r="Z56" s="87"/>
      <c r="AA56" s="87"/>
      <c r="AB56" s="87"/>
      <c r="AC56" s="87"/>
      <c r="AD56" s="87"/>
    </row>
    <row r="57" spans="26:30" x14ac:dyDescent="0.25">
      <c r="Z57" s="87"/>
      <c r="AA57" s="87"/>
      <c r="AB57" s="87"/>
      <c r="AC57" s="87"/>
      <c r="AD57" s="87"/>
    </row>
    <row r="58" spans="26:30" x14ac:dyDescent="0.25">
      <c r="Z58" s="87"/>
      <c r="AA58" s="87"/>
      <c r="AB58" s="87"/>
      <c r="AC58" s="87"/>
      <c r="AD58" s="87"/>
    </row>
    <row r="59" spans="26:30" x14ac:dyDescent="0.25">
      <c r="Z59" s="87"/>
      <c r="AA59" s="87"/>
      <c r="AB59" s="87"/>
      <c r="AC59" s="87"/>
      <c r="AD59" s="87"/>
    </row>
    <row r="60" spans="26:30" x14ac:dyDescent="0.25">
      <c r="Z60" s="87"/>
      <c r="AA60" s="87"/>
      <c r="AB60" s="87"/>
      <c r="AC60" s="87"/>
      <c r="AD60" s="87"/>
    </row>
    <row r="61" spans="26:30" x14ac:dyDescent="0.25">
      <c r="Z61" s="87"/>
      <c r="AA61" s="87"/>
      <c r="AB61" s="87"/>
      <c r="AC61" s="87"/>
      <c r="AD61" s="87"/>
    </row>
    <row r="62" spans="26:30" x14ac:dyDescent="0.25">
      <c r="Z62" s="87"/>
      <c r="AA62" s="87"/>
      <c r="AB62" s="87"/>
      <c r="AC62" s="87"/>
      <c r="AD62" s="87"/>
    </row>
    <row r="63" spans="26:30" x14ac:dyDescent="0.25">
      <c r="Z63" s="87"/>
      <c r="AA63" s="87"/>
      <c r="AB63" s="87"/>
      <c r="AC63" s="87"/>
      <c r="AD63" s="87"/>
    </row>
    <row r="64" spans="26:30" x14ac:dyDescent="0.25">
      <c r="Z64" s="87"/>
      <c r="AA64" s="87"/>
      <c r="AB64" s="87"/>
      <c r="AC64" s="87"/>
      <c r="AD64" s="87"/>
    </row>
    <row r="65" spans="26:30" x14ac:dyDescent="0.25">
      <c r="Z65" s="87"/>
      <c r="AA65" s="87"/>
      <c r="AB65" s="87"/>
      <c r="AC65" s="87"/>
      <c r="AD65" s="87"/>
    </row>
    <row r="66" spans="26:30" x14ac:dyDescent="0.25">
      <c r="Z66" s="87"/>
      <c r="AA66" s="87"/>
      <c r="AB66" s="87"/>
      <c r="AC66" s="87"/>
      <c r="AD66" s="87"/>
    </row>
    <row r="67" spans="26:30" x14ac:dyDescent="0.25">
      <c r="Z67" s="87"/>
      <c r="AA67" s="87"/>
      <c r="AB67" s="87"/>
      <c r="AC67" s="87"/>
      <c r="AD67" s="87"/>
    </row>
    <row r="68" spans="26:30" x14ac:dyDescent="0.25">
      <c r="Z68" s="87"/>
      <c r="AA68" s="87"/>
      <c r="AB68" s="87"/>
      <c r="AC68" s="87"/>
      <c r="AD68" s="87"/>
    </row>
    <row r="69" spans="26:30" x14ac:dyDescent="0.25">
      <c r="Z69" s="87"/>
      <c r="AA69" s="87"/>
      <c r="AB69" s="87"/>
      <c r="AC69" s="87"/>
      <c r="AD69" s="87"/>
    </row>
    <row r="70" spans="26:30" x14ac:dyDescent="0.25">
      <c r="Z70" s="87"/>
      <c r="AA70" s="87"/>
      <c r="AB70" s="87"/>
      <c r="AC70" s="87"/>
      <c r="AD70" s="87"/>
    </row>
    <row r="71" spans="26:30" x14ac:dyDescent="0.25">
      <c r="Z71" s="87"/>
      <c r="AA71" s="87"/>
      <c r="AB71" s="87"/>
      <c r="AC71" s="87"/>
      <c r="AD71" s="87"/>
    </row>
    <row r="72" spans="26:30" x14ac:dyDescent="0.25">
      <c r="Z72" s="87"/>
      <c r="AA72" s="87"/>
      <c r="AB72" s="87"/>
      <c r="AC72" s="87"/>
      <c r="AD72" s="87"/>
    </row>
    <row r="73" spans="26:30" x14ac:dyDescent="0.25">
      <c r="Z73" s="87"/>
      <c r="AA73" s="87"/>
      <c r="AB73" s="87"/>
      <c r="AC73" s="87"/>
      <c r="AD73" s="87"/>
    </row>
    <row r="74" spans="26:30" x14ac:dyDescent="0.25">
      <c r="Z74" s="87"/>
      <c r="AA74" s="87"/>
      <c r="AB74" s="87"/>
      <c r="AC74" s="87"/>
      <c r="AD74" s="87"/>
    </row>
    <row r="75" spans="26:30" x14ac:dyDescent="0.25">
      <c r="Z75" s="87"/>
      <c r="AA75" s="87"/>
      <c r="AB75" s="87"/>
      <c r="AC75" s="87"/>
      <c r="AD75" s="87"/>
    </row>
    <row r="76" spans="26:30" x14ac:dyDescent="0.25">
      <c r="Z76" s="87"/>
      <c r="AA76" s="87"/>
      <c r="AB76" s="87"/>
      <c r="AC76" s="87"/>
      <c r="AD76" s="87"/>
    </row>
    <row r="77" spans="26:30" x14ac:dyDescent="0.25">
      <c r="Z77" s="87"/>
      <c r="AA77" s="87"/>
      <c r="AB77" s="87"/>
      <c r="AC77" s="87"/>
      <c r="AD77" s="87"/>
    </row>
    <row r="78" spans="26:30" x14ac:dyDescent="0.25">
      <c r="Z78" s="87"/>
      <c r="AA78" s="87"/>
      <c r="AB78" s="87"/>
      <c r="AC78" s="87"/>
      <c r="AD78" s="87"/>
    </row>
    <row r="79" spans="26:30" x14ac:dyDescent="0.25">
      <c r="Z79" s="87"/>
      <c r="AA79" s="87"/>
      <c r="AB79" s="87"/>
      <c r="AC79" s="87"/>
      <c r="AD79" s="87"/>
    </row>
    <row r="80" spans="26:30" x14ac:dyDescent="0.25">
      <c r="Z80" s="87"/>
      <c r="AA80" s="87"/>
      <c r="AB80" s="87"/>
      <c r="AC80" s="87"/>
      <c r="AD80" s="87"/>
    </row>
    <row r="81" spans="26:30" x14ac:dyDescent="0.25">
      <c r="Z81" s="87"/>
      <c r="AA81" s="87"/>
      <c r="AB81" s="87"/>
      <c r="AC81" s="87"/>
      <c r="AD81" s="87"/>
    </row>
    <row r="82" spans="26:30" x14ac:dyDescent="0.25">
      <c r="Z82" s="87"/>
      <c r="AA82" s="87"/>
      <c r="AB82" s="87"/>
      <c r="AC82" s="87"/>
      <c r="AD82" s="87"/>
    </row>
    <row r="83" spans="26:30" x14ac:dyDescent="0.25">
      <c r="Z83" s="87"/>
      <c r="AA83" s="87"/>
      <c r="AB83" s="87"/>
      <c r="AC83" s="87"/>
      <c r="AD83" s="87"/>
    </row>
    <row r="84" spans="26:30" x14ac:dyDescent="0.25">
      <c r="Z84" s="87"/>
      <c r="AA84" s="87"/>
      <c r="AB84" s="87"/>
      <c r="AC84" s="87"/>
      <c r="AD84" s="87"/>
    </row>
    <row r="85" spans="26:30" x14ac:dyDescent="0.25">
      <c r="Z85" s="87"/>
      <c r="AA85" s="87"/>
      <c r="AB85" s="87"/>
      <c r="AC85" s="87"/>
      <c r="AD85" s="87"/>
    </row>
    <row r="86" spans="26:30" x14ac:dyDescent="0.25">
      <c r="Z86" s="87"/>
      <c r="AA86" s="87"/>
      <c r="AB86" s="87"/>
      <c r="AC86" s="87"/>
      <c r="AD86" s="87"/>
    </row>
    <row r="87" spans="26:30" x14ac:dyDescent="0.25">
      <c r="Z87" s="87"/>
      <c r="AA87" s="87"/>
      <c r="AB87" s="87"/>
      <c r="AC87" s="87"/>
      <c r="AD87" s="87"/>
    </row>
    <row r="88" spans="26:30" x14ac:dyDescent="0.25">
      <c r="Z88" s="87"/>
      <c r="AA88" s="87"/>
      <c r="AB88" s="87"/>
      <c r="AC88" s="87"/>
      <c r="AD88" s="87"/>
    </row>
    <row r="89" spans="26:30" x14ac:dyDescent="0.25">
      <c r="Z89" s="87"/>
      <c r="AA89" s="87"/>
      <c r="AB89" s="87"/>
      <c r="AC89" s="87"/>
      <c r="AD89" s="87"/>
    </row>
    <row r="90" spans="26:30" x14ac:dyDescent="0.25">
      <c r="Z90" s="87"/>
      <c r="AA90" s="87"/>
      <c r="AB90" s="87"/>
      <c r="AC90" s="87"/>
      <c r="AD90" s="87"/>
    </row>
    <row r="91" spans="26:30" x14ac:dyDescent="0.25">
      <c r="Z91" s="87"/>
      <c r="AA91" s="87"/>
      <c r="AB91" s="87"/>
      <c r="AC91" s="87"/>
      <c r="AD91" s="87"/>
    </row>
    <row r="92" spans="26:30" x14ac:dyDescent="0.25">
      <c r="Z92" s="87"/>
      <c r="AA92" s="87"/>
      <c r="AB92" s="87"/>
      <c r="AC92" s="87"/>
      <c r="AD92" s="87"/>
    </row>
    <row r="93" spans="26:30" x14ac:dyDescent="0.25">
      <c r="Z93" s="87"/>
      <c r="AA93" s="87"/>
      <c r="AB93" s="87"/>
      <c r="AC93" s="87"/>
      <c r="AD93" s="87"/>
    </row>
    <row r="94" spans="26:30" x14ac:dyDescent="0.25">
      <c r="Z94" s="87"/>
      <c r="AA94" s="87"/>
      <c r="AB94" s="87"/>
      <c r="AC94" s="87"/>
      <c r="AD94" s="87"/>
    </row>
    <row r="95" spans="26:30" x14ac:dyDescent="0.25">
      <c r="Z95" s="87"/>
      <c r="AA95" s="87"/>
      <c r="AB95" s="87"/>
      <c r="AC95" s="87"/>
      <c r="AD95" s="87"/>
    </row>
    <row r="96" spans="26:30" x14ac:dyDescent="0.25">
      <c r="Z96" s="87"/>
      <c r="AA96" s="87"/>
      <c r="AB96" s="87"/>
      <c r="AC96" s="87"/>
      <c r="AD96" s="87"/>
    </row>
    <row r="97" spans="26:30" x14ac:dyDescent="0.25">
      <c r="Z97" s="87"/>
      <c r="AA97" s="87"/>
      <c r="AB97" s="87"/>
      <c r="AC97" s="87"/>
      <c r="AD97" s="87"/>
    </row>
    <row r="98" spans="26:30" x14ac:dyDescent="0.25">
      <c r="Z98" s="87"/>
      <c r="AA98" s="87"/>
      <c r="AB98" s="87"/>
      <c r="AC98" s="87"/>
      <c r="AD98" s="87"/>
    </row>
    <row r="99" spans="26:30" x14ac:dyDescent="0.25">
      <c r="Z99" s="87"/>
      <c r="AA99" s="87"/>
      <c r="AB99" s="87"/>
      <c r="AC99" s="87"/>
      <c r="AD99" s="87"/>
    </row>
    <row r="100" spans="26:30" x14ac:dyDescent="0.25">
      <c r="Z100" s="87"/>
      <c r="AA100" s="87"/>
      <c r="AB100" s="87"/>
      <c r="AC100" s="87"/>
      <c r="AD100" s="87"/>
    </row>
    <row r="101" spans="26:30" x14ac:dyDescent="0.25">
      <c r="Z101" s="87"/>
      <c r="AA101" s="87"/>
      <c r="AB101" s="87"/>
      <c r="AC101" s="87"/>
      <c r="AD101" s="87"/>
    </row>
    <row r="102" spans="26:30" x14ac:dyDescent="0.25">
      <c r="Z102" s="87"/>
      <c r="AA102" s="87"/>
      <c r="AB102" s="87"/>
      <c r="AC102" s="87"/>
      <c r="AD102" s="87"/>
    </row>
    <row r="103" spans="26:30" x14ac:dyDescent="0.25">
      <c r="Z103" s="87"/>
      <c r="AA103" s="87"/>
      <c r="AB103" s="87"/>
      <c r="AC103" s="87"/>
      <c r="AD103" s="87"/>
    </row>
    <row r="104" spans="26:30" x14ac:dyDescent="0.25">
      <c r="Z104" s="87"/>
      <c r="AA104" s="87"/>
      <c r="AB104" s="87"/>
      <c r="AC104" s="87"/>
      <c r="AD104" s="87"/>
    </row>
    <row r="105" spans="26:30" x14ac:dyDescent="0.25">
      <c r="Z105" s="87"/>
      <c r="AA105" s="87"/>
      <c r="AB105" s="87"/>
      <c r="AC105" s="87"/>
      <c r="AD105" s="87"/>
    </row>
    <row r="106" spans="26:30" x14ac:dyDescent="0.25">
      <c r="Z106" s="87"/>
      <c r="AA106" s="87"/>
      <c r="AB106" s="87"/>
      <c r="AC106" s="87"/>
      <c r="AD106" s="87"/>
    </row>
    <row r="107" spans="26:30" x14ac:dyDescent="0.25">
      <c r="Z107" s="87"/>
      <c r="AA107" s="87"/>
      <c r="AB107" s="87"/>
      <c r="AC107" s="87"/>
      <c r="AD107" s="87"/>
    </row>
    <row r="108" spans="26:30" x14ac:dyDescent="0.25">
      <c r="Z108" s="87"/>
      <c r="AA108" s="87"/>
      <c r="AB108" s="87"/>
      <c r="AC108" s="87"/>
      <c r="AD108" s="87"/>
    </row>
    <row r="109" spans="26:30" x14ac:dyDescent="0.25">
      <c r="Z109" s="87"/>
      <c r="AA109" s="87"/>
      <c r="AB109" s="87"/>
      <c r="AC109" s="87"/>
      <c r="AD109" s="87"/>
    </row>
    <row r="110" spans="26:30" x14ac:dyDescent="0.25">
      <c r="Z110" s="87"/>
      <c r="AA110" s="87"/>
      <c r="AB110" s="87"/>
      <c r="AC110" s="87"/>
      <c r="AD110" s="87"/>
    </row>
    <row r="111" spans="26:30" x14ac:dyDescent="0.25">
      <c r="Z111" s="87"/>
      <c r="AA111" s="87"/>
      <c r="AB111" s="87"/>
      <c r="AC111" s="87"/>
      <c r="AD111" s="87"/>
    </row>
    <row r="112" spans="26:30" x14ac:dyDescent="0.25">
      <c r="Z112" s="87"/>
      <c r="AA112" s="87"/>
      <c r="AB112" s="87"/>
      <c r="AC112" s="87"/>
      <c r="AD112" s="87"/>
    </row>
    <row r="113" spans="26:30" x14ac:dyDescent="0.25">
      <c r="Z113" s="87"/>
      <c r="AA113" s="87"/>
      <c r="AB113" s="87"/>
      <c r="AC113" s="87"/>
      <c r="AD113" s="87"/>
    </row>
    <row r="114" spans="26:30" x14ac:dyDescent="0.25">
      <c r="Z114" s="87"/>
      <c r="AA114" s="87"/>
      <c r="AB114" s="87"/>
      <c r="AC114" s="87"/>
      <c r="AD114" s="87"/>
    </row>
    <row r="115" spans="26:30" x14ac:dyDescent="0.25">
      <c r="Z115" s="87"/>
      <c r="AA115" s="87"/>
      <c r="AB115" s="87"/>
      <c r="AC115" s="87"/>
      <c r="AD115" s="87"/>
    </row>
    <row r="116" spans="26:30" x14ac:dyDescent="0.25">
      <c r="Z116" s="87"/>
      <c r="AA116" s="87"/>
      <c r="AB116" s="87"/>
      <c r="AC116" s="87"/>
      <c r="AD116" s="87"/>
    </row>
    <row r="117" spans="26:30" x14ac:dyDescent="0.25">
      <c r="Z117" s="87"/>
      <c r="AA117" s="87"/>
      <c r="AB117" s="87"/>
      <c r="AC117" s="87"/>
      <c r="AD117" s="87"/>
    </row>
    <row r="118" spans="26:30" x14ac:dyDescent="0.25">
      <c r="Z118" s="87"/>
      <c r="AA118" s="87"/>
      <c r="AB118" s="87"/>
      <c r="AC118" s="87"/>
      <c r="AD118" s="87"/>
    </row>
    <row r="119" spans="26:30" x14ac:dyDescent="0.25">
      <c r="Z119" s="87"/>
      <c r="AA119" s="87"/>
      <c r="AB119" s="87"/>
      <c r="AC119" s="87"/>
      <c r="AD119" s="87"/>
    </row>
    <row r="120" spans="26:30" x14ac:dyDescent="0.25">
      <c r="Z120" s="87"/>
      <c r="AA120" s="87"/>
      <c r="AB120" s="87"/>
      <c r="AC120" s="87"/>
      <c r="AD120" s="87"/>
    </row>
    <row r="121" spans="26:30" x14ac:dyDescent="0.25">
      <c r="Z121" s="87"/>
      <c r="AA121" s="87"/>
      <c r="AB121" s="87"/>
      <c r="AC121" s="87"/>
      <c r="AD121" s="87"/>
    </row>
    <row r="122" spans="26:30" x14ac:dyDescent="0.25">
      <c r="Z122" s="87"/>
      <c r="AA122" s="87"/>
      <c r="AB122" s="87"/>
      <c r="AC122" s="87"/>
      <c r="AD122" s="87"/>
    </row>
    <row r="123" spans="26:30" x14ac:dyDescent="0.25">
      <c r="Z123" s="87"/>
      <c r="AA123" s="87"/>
      <c r="AB123" s="87"/>
      <c r="AC123" s="87"/>
      <c r="AD123" s="87"/>
    </row>
    <row r="124" spans="26:30" x14ac:dyDescent="0.25">
      <c r="Z124" s="87"/>
      <c r="AA124" s="87"/>
      <c r="AB124" s="87"/>
      <c r="AC124" s="87"/>
      <c r="AD124" s="87"/>
    </row>
    <row r="125" spans="26:30" x14ac:dyDescent="0.25">
      <c r="Z125" s="87"/>
      <c r="AA125" s="87"/>
      <c r="AB125" s="87"/>
      <c r="AC125" s="87"/>
      <c r="AD125" s="87"/>
    </row>
    <row r="126" spans="26:30" x14ac:dyDescent="0.25">
      <c r="Z126" s="87"/>
      <c r="AA126" s="87"/>
      <c r="AB126" s="87"/>
      <c r="AC126" s="87"/>
      <c r="AD126" s="87"/>
    </row>
    <row r="127" spans="26:30" x14ac:dyDescent="0.25">
      <c r="Z127" s="87"/>
      <c r="AA127" s="87"/>
      <c r="AB127" s="87"/>
      <c r="AC127" s="87"/>
      <c r="AD127" s="87"/>
    </row>
    <row r="128" spans="26:30" x14ac:dyDescent="0.25">
      <c r="Z128" s="87"/>
      <c r="AA128" s="87"/>
      <c r="AB128" s="87"/>
      <c r="AC128" s="87"/>
      <c r="AD128" s="87"/>
    </row>
    <row r="129" spans="26:30" x14ac:dyDescent="0.25">
      <c r="Z129" s="87"/>
      <c r="AA129" s="87"/>
      <c r="AB129" s="87"/>
      <c r="AC129" s="87"/>
      <c r="AD129" s="87"/>
    </row>
    <row r="130" spans="26:30" x14ac:dyDescent="0.25">
      <c r="Z130" s="87"/>
      <c r="AA130" s="87"/>
      <c r="AB130" s="87"/>
      <c r="AC130" s="87"/>
      <c r="AD130" s="87"/>
    </row>
    <row r="131" spans="26:30" x14ac:dyDescent="0.25">
      <c r="Z131" s="87"/>
      <c r="AA131" s="87"/>
      <c r="AB131" s="87"/>
      <c r="AC131" s="87"/>
      <c r="AD131" s="87"/>
    </row>
    <row r="132" spans="26:30" x14ac:dyDescent="0.25">
      <c r="Z132" s="87"/>
      <c r="AA132" s="87"/>
      <c r="AB132" s="87"/>
      <c r="AC132" s="87"/>
      <c r="AD132" s="87"/>
    </row>
    <row r="133" spans="26:30" x14ac:dyDescent="0.25">
      <c r="Z133" s="87"/>
      <c r="AA133" s="87"/>
      <c r="AB133" s="87"/>
      <c r="AC133" s="87"/>
      <c r="AD133" s="87"/>
    </row>
    <row r="134" spans="26:30" x14ac:dyDescent="0.25">
      <c r="Z134" s="87"/>
      <c r="AA134" s="87"/>
      <c r="AB134" s="87"/>
      <c r="AC134" s="87"/>
      <c r="AD134" s="87"/>
    </row>
    <row r="135" spans="26:30" x14ac:dyDescent="0.25">
      <c r="Z135" s="87"/>
      <c r="AA135" s="87"/>
      <c r="AB135" s="87"/>
      <c r="AC135" s="87"/>
      <c r="AD135" s="87"/>
    </row>
    <row r="136" spans="26:30" x14ac:dyDescent="0.25">
      <c r="Z136" s="87"/>
      <c r="AA136" s="87"/>
      <c r="AB136" s="87"/>
      <c r="AC136" s="87"/>
      <c r="AD136" s="87"/>
    </row>
    <row r="137" spans="26:30" x14ac:dyDescent="0.25">
      <c r="Z137" s="87"/>
      <c r="AA137" s="87"/>
      <c r="AB137" s="87"/>
      <c r="AC137" s="87"/>
      <c r="AD137" s="87"/>
    </row>
    <row r="138" spans="26:30" x14ac:dyDescent="0.25">
      <c r="Z138" s="87"/>
      <c r="AA138" s="87"/>
      <c r="AB138" s="87"/>
      <c r="AC138" s="87"/>
      <c r="AD138" s="87"/>
    </row>
    <row r="139" spans="26:30" x14ac:dyDescent="0.25">
      <c r="Z139" s="87"/>
      <c r="AA139" s="87"/>
      <c r="AB139" s="87"/>
      <c r="AC139" s="87"/>
      <c r="AD139" s="87"/>
    </row>
    <row r="140" spans="26:30" x14ac:dyDescent="0.25">
      <c r="Z140" s="87"/>
      <c r="AA140" s="87"/>
      <c r="AB140" s="87"/>
      <c r="AC140" s="87"/>
      <c r="AD140" s="87"/>
    </row>
    <row r="141" spans="26:30" x14ac:dyDescent="0.25">
      <c r="Z141" s="87"/>
      <c r="AA141" s="87"/>
      <c r="AB141" s="87"/>
      <c r="AC141" s="87"/>
      <c r="AD141" s="87"/>
    </row>
    <row r="142" spans="26:30" x14ac:dyDescent="0.25">
      <c r="Z142" s="87"/>
      <c r="AA142" s="87"/>
      <c r="AB142" s="87"/>
      <c r="AC142" s="87"/>
      <c r="AD142" s="87"/>
    </row>
    <row r="143" spans="26:30" x14ac:dyDescent="0.25">
      <c r="Z143" s="87"/>
      <c r="AA143" s="87"/>
      <c r="AB143" s="87"/>
      <c r="AC143" s="87"/>
      <c r="AD143" s="87"/>
    </row>
    <row r="144" spans="26:30" x14ac:dyDescent="0.25">
      <c r="Z144" s="87"/>
      <c r="AA144" s="87"/>
      <c r="AB144" s="87"/>
      <c r="AC144" s="87"/>
      <c r="AD144" s="87"/>
    </row>
    <row r="145" spans="26:30" x14ac:dyDescent="0.25">
      <c r="Z145" s="87"/>
      <c r="AA145" s="87"/>
      <c r="AB145" s="87"/>
      <c r="AC145" s="87"/>
      <c r="AD145" s="87"/>
    </row>
    <row r="146" spans="26:30" x14ac:dyDescent="0.25">
      <c r="Z146" s="87"/>
      <c r="AA146" s="87"/>
      <c r="AB146" s="87"/>
      <c r="AC146" s="87"/>
      <c r="AD146" s="87"/>
    </row>
    <row r="147" spans="26:30" x14ac:dyDescent="0.25">
      <c r="Z147" s="87"/>
      <c r="AA147" s="87"/>
      <c r="AB147" s="87"/>
      <c r="AC147" s="87"/>
      <c r="AD147" s="87"/>
    </row>
    <row r="148" spans="26:30" x14ac:dyDescent="0.25">
      <c r="Z148" s="87"/>
      <c r="AA148" s="87"/>
      <c r="AB148" s="87"/>
      <c r="AC148" s="87"/>
      <c r="AD148" s="87"/>
    </row>
    <row r="149" spans="26:30" x14ac:dyDescent="0.25">
      <c r="Z149" s="87"/>
      <c r="AA149" s="87"/>
      <c r="AB149" s="87"/>
      <c r="AC149" s="87"/>
      <c r="AD149" s="87"/>
    </row>
    <row r="150" spans="26:30" x14ac:dyDescent="0.25">
      <c r="Z150" s="87"/>
      <c r="AA150" s="87"/>
      <c r="AB150" s="87"/>
      <c r="AC150" s="87"/>
      <c r="AD150" s="87"/>
    </row>
    <row r="151" spans="26:30" x14ac:dyDescent="0.25">
      <c r="Z151" s="87"/>
      <c r="AA151" s="87"/>
      <c r="AB151" s="87"/>
      <c r="AC151" s="87"/>
      <c r="AD151" s="87"/>
    </row>
    <row r="152" spans="26:30" x14ac:dyDescent="0.25">
      <c r="Z152" s="87"/>
      <c r="AA152" s="87"/>
      <c r="AB152" s="87"/>
      <c r="AC152" s="87"/>
      <c r="AD152" s="87"/>
    </row>
    <row r="153" spans="26:30" x14ac:dyDescent="0.25">
      <c r="Z153" s="87"/>
      <c r="AA153" s="87"/>
      <c r="AB153" s="87"/>
      <c r="AC153" s="87"/>
      <c r="AD153" s="87"/>
    </row>
    <row r="154" spans="26:30" x14ac:dyDescent="0.25">
      <c r="Z154" s="87"/>
      <c r="AA154" s="87"/>
      <c r="AB154" s="87"/>
      <c r="AC154" s="87"/>
      <c r="AD154" s="87"/>
    </row>
    <row r="155" spans="26:30" x14ac:dyDescent="0.25">
      <c r="Z155" s="87"/>
      <c r="AA155" s="87"/>
      <c r="AB155" s="87"/>
      <c r="AC155" s="87"/>
      <c r="AD155" s="87"/>
    </row>
    <row r="156" spans="26:30" x14ac:dyDescent="0.25">
      <c r="Z156" s="87"/>
      <c r="AA156" s="87"/>
      <c r="AB156" s="87"/>
      <c r="AC156" s="87"/>
      <c r="AD156" s="87"/>
    </row>
    <row r="157" spans="26:30" x14ac:dyDescent="0.25">
      <c r="Z157" s="87"/>
      <c r="AA157" s="87"/>
      <c r="AB157" s="87"/>
      <c r="AC157" s="87"/>
      <c r="AD157" s="87"/>
    </row>
    <row r="158" spans="26:30" x14ac:dyDescent="0.25">
      <c r="Z158" s="87"/>
      <c r="AA158" s="87"/>
      <c r="AB158" s="87"/>
      <c r="AC158" s="87"/>
      <c r="AD158" s="87"/>
    </row>
    <row r="159" spans="26:30" x14ac:dyDescent="0.25">
      <c r="Z159" s="87"/>
      <c r="AA159" s="87"/>
      <c r="AB159" s="87"/>
      <c r="AC159" s="87"/>
      <c r="AD159" s="87"/>
    </row>
    <row r="160" spans="26:30" x14ac:dyDescent="0.25">
      <c r="Z160" s="87"/>
      <c r="AA160" s="87"/>
      <c r="AB160" s="87"/>
      <c r="AC160" s="87"/>
      <c r="AD160" s="87"/>
    </row>
    <row r="161" spans="26:30" x14ac:dyDescent="0.25">
      <c r="Z161" s="87"/>
      <c r="AA161" s="87"/>
      <c r="AB161" s="87"/>
      <c r="AC161" s="87"/>
      <c r="AD161" s="87"/>
    </row>
    <row r="162" spans="26:30" x14ac:dyDescent="0.25">
      <c r="Z162" s="87"/>
      <c r="AA162" s="87"/>
      <c r="AB162" s="87"/>
      <c r="AC162" s="87"/>
      <c r="AD162" s="87"/>
    </row>
    <row r="163" spans="26:30" x14ac:dyDescent="0.25">
      <c r="Z163" s="87"/>
      <c r="AA163" s="87"/>
      <c r="AB163" s="87"/>
      <c r="AC163" s="87"/>
      <c r="AD163" s="87"/>
    </row>
    <row r="164" spans="26:30" x14ac:dyDescent="0.25">
      <c r="Z164" s="87"/>
      <c r="AA164" s="87"/>
      <c r="AB164" s="87"/>
      <c r="AC164" s="87"/>
      <c r="AD164" s="87"/>
    </row>
    <row r="165" spans="26:30" x14ac:dyDescent="0.25">
      <c r="Z165" s="87"/>
      <c r="AA165" s="87"/>
      <c r="AB165" s="87"/>
      <c r="AC165" s="87"/>
      <c r="AD165" s="87"/>
    </row>
    <row r="166" spans="26:30" x14ac:dyDescent="0.25">
      <c r="Z166" s="87"/>
      <c r="AA166" s="87"/>
      <c r="AB166" s="87"/>
      <c r="AC166" s="87"/>
      <c r="AD166" s="87"/>
    </row>
    <row r="167" spans="26:30" x14ac:dyDescent="0.25">
      <c r="Z167" s="87"/>
      <c r="AA167" s="87"/>
      <c r="AB167" s="87"/>
      <c r="AC167" s="87"/>
      <c r="AD167" s="87"/>
    </row>
    <row r="168" spans="26:30" x14ac:dyDescent="0.25">
      <c r="Z168" s="87"/>
      <c r="AA168" s="87"/>
      <c r="AB168" s="87"/>
      <c r="AC168" s="87"/>
      <c r="AD168" s="87"/>
    </row>
    <row r="169" spans="26:30" x14ac:dyDescent="0.25">
      <c r="Z169" s="87"/>
      <c r="AA169" s="87"/>
      <c r="AB169" s="87"/>
      <c r="AC169" s="87"/>
      <c r="AD169" s="87"/>
    </row>
    <row r="170" spans="26:30" x14ac:dyDescent="0.25">
      <c r="Z170" s="87"/>
      <c r="AA170" s="87"/>
      <c r="AB170" s="87"/>
      <c r="AC170" s="87"/>
      <c r="AD170" s="87"/>
    </row>
    <row r="171" spans="26:30" x14ac:dyDescent="0.25">
      <c r="Z171" s="87"/>
      <c r="AA171" s="87"/>
      <c r="AB171" s="87"/>
      <c r="AC171" s="87"/>
      <c r="AD171" s="87"/>
    </row>
    <row r="172" spans="26:30" x14ac:dyDescent="0.25">
      <c r="Z172" s="87"/>
      <c r="AA172" s="87"/>
      <c r="AB172" s="87"/>
      <c r="AC172" s="87"/>
      <c r="AD172" s="87"/>
    </row>
    <row r="173" spans="26:30" x14ac:dyDescent="0.25">
      <c r="Z173" s="87"/>
      <c r="AA173" s="87"/>
      <c r="AB173" s="87"/>
      <c r="AC173" s="87"/>
      <c r="AD173" s="87"/>
    </row>
    <row r="174" spans="26:30" x14ac:dyDescent="0.25">
      <c r="Z174" s="87"/>
      <c r="AA174" s="87"/>
      <c r="AB174" s="87"/>
      <c r="AC174" s="87"/>
      <c r="AD174" s="87"/>
    </row>
    <row r="175" spans="26:30" x14ac:dyDescent="0.25">
      <c r="Z175" s="87"/>
      <c r="AA175" s="87"/>
      <c r="AB175" s="87"/>
      <c r="AC175" s="87"/>
      <c r="AD175" s="87"/>
    </row>
    <row r="176" spans="26:30" x14ac:dyDescent="0.25">
      <c r="Z176" s="87"/>
      <c r="AA176" s="87"/>
      <c r="AB176" s="87"/>
      <c r="AC176" s="87"/>
      <c r="AD176" s="87"/>
    </row>
    <row r="177" spans="26:30" x14ac:dyDescent="0.25">
      <c r="Z177" s="87"/>
      <c r="AA177" s="87"/>
      <c r="AB177" s="87"/>
      <c r="AC177" s="87"/>
      <c r="AD177" s="87"/>
    </row>
    <row r="178" spans="26:30" x14ac:dyDescent="0.25">
      <c r="Z178" s="87"/>
      <c r="AA178" s="87"/>
      <c r="AB178" s="87"/>
      <c r="AC178" s="87"/>
      <c r="AD178" s="87"/>
    </row>
    <row r="179" spans="26:30" x14ac:dyDescent="0.25">
      <c r="Z179" s="87"/>
      <c r="AA179" s="87"/>
      <c r="AB179" s="87"/>
      <c r="AC179" s="87"/>
      <c r="AD179" s="87"/>
    </row>
    <row r="180" spans="26:30" x14ac:dyDescent="0.25">
      <c r="Z180" s="87"/>
      <c r="AA180" s="87"/>
      <c r="AB180" s="87"/>
      <c r="AC180" s="87"/>
      <c r="AD180" s="87"/>
    </row>
    <row r="181" spans="26:30" x14ac:dyDescent="0.25">
      <c r="Z181" s="87"/>
      <c r="AA181" s="87"/>
      <c r="AB181" s="87"/>
      <c r="AC181" s="87"/>
      <c r="AD181" s="87"/>
    </row>
    <row r="182" spans="26:30" x14ac:dyDescent="0.25">
      <c r="Z182" s="87"/>
      <c r="AA182" s="87"/>
      <c r="AB182" s="87"/>
      <c r="AC182" s="87"/>
      <c r="AD182" s="87"/>
    </row>
    <row r="183" spans="26:30" x14ac:dyDescent="0.25">
      <c r="Z183" s="87"/>
      <c r="AA183" s="87"/>
      <c r="AB183" s="87"/>
      <c r="AC183" s="87"/>
      <c r="AD183" s="87"/>
    </row>
    <row r="184" spans="26:30" x14ac:dyDescent="0.25">
      <c r="Z184" s="87"/>
      <c r="AA184" s="87"/>
      <c r="AB184" s="87"/>
      <c r="AC184" s="87"/>
      <c r="AD184" s="87"/>
    </row>
    <row r="185" spans="26:30" x14ac:dyDescent="0.25">
      <c r="Z185" s="87"/>
      <c r="AA185" s="87"/>
      <c r="AB185" s="87"/>
      <c r="AC185" s="87"/>
      <c r="AD185" s="87"/>
    </row>
    <row r="186" spans="26:30" x14ac:dyDescent="0.25">
      <c r="Z186" s="87"/>
      <c r="AA186" s="87"/>
      <c r="AB186" s="87"/>
      <c r="AC186" s="87"/>
      <c r="AD186" s="87"/>
    </row>
    <row r="187" spans="26:30" x14ac:dyDescent="0.25">
      <c r="Z187" s="87"/>
      <c r="AA187" s="87"/>
      <c r="AB187" s="87"/>
      <c r="AC187" s="87"/>
      <c r="AD187" s="87"/>
    </row>
    <row r="188" spans="26:30" x14ac:dyDescent="0.25">
      <c r="Z188" s="87"/>
      <c r="AA188" s="87"/>
      <c r="AB188" s="87"/>
      <c r="AC188" s="87"/>
      <c r="AD188" s="87"/>
    </row>
    <row r="189" spans="26:30" x14ac:dyDescent="0.25">
      <c r="Z189" s="87"/>
      <c r="AA189" s="87"/>
      <c r="AB189" s="87"/>
      <c r="AC189" s="87"/>
      <c r="AD189" s="87"/>
    </row>
    <row r="190" spans="26:30" x14ac:dyDescent="0.25">
      <c r="Z190" s="87"/>
      <c r="AA190" s="87"/>
      <c r="AB190" s="87"/>
      <c r="AC190" s="87"/>
      <c r="AD190" s="87"/>
    </row>
    <row r="191" spans="26:30" x14ac:dyDescent="0.25">
      <c r="Z191" s="87"/>
      <c r="AA191" s="87"/>
      <c r="AB191" s="87"/>
      <c r="AC191" s="87"/>
      <c r="AD191" s="87"/>
    </row>
    <row r="192" spans="26:30" x14ac:dyDescent="0.25">
      <c r="Z192" s="87"/>
      <c r="AA192" s="87"/>
      <c r="AB192" s="87"/>
      <c r="AC192" s="87"/>
      <c r="AD192" s="87"/>
    </row>
    <row r="193" spans="26:30" x14ac:dyDescent="0.25">
      <c r="Z193" s="87"/>
      <c r="AA193" s="87"/>
      <c r="AB193" s="87"/>
      <c r="AC193" s="87"/>
      <c r="AD193" s="87"/>
    </row>
    <row r="194" spans="26:30" x14ac:dyDescent="0.25">
      <c r="Z194" s="87"/>
      <c r="AA194" s="87"/>
      <c r="AB194" s="87"/>
      <c r="AC194" s="87"/>
      <c r="AD194" s="87"/>
    </row>
    <row r="195" spans="26:30" x14ac:dyDescent="0.25">
      <c r="Z195" s="87"/>
      <c r="AA195" s="87"/>
      <c r="AB195" s="87"/>
      <c r="AC195" s="87"/>
      <c r="AD195" s="87"/>
    </row>
    <row r="196" spans="26:30" x14ac:dyDescent="0.25">
      <c r="Z196" s="87"/>
      <c r="AA196" s="87"/>
      <c r="AB196" s="87"/>
      <c r="AC196" s="87"/>
      <c r="AD196" s="87"/>
    </row>
    <row r="197" spans="26:30" x14ac:dyDescent="0.25">
      <c r="Z197" s="87"/>
      <c r="AA197" s="87"/>
      <c r="AB197" s="87"/>
      <c r="AC197" s="87"/>
      <c r="AD197" s="87"/>
    </row>
    <row r="198" spans="26:30" x14ac:dyDescent="0.25">
      <c r="Z198" s="87"/>
      <c r="AA198" s="87"/>
      <c r="AB198" s="87"/>
      <c r="AC198" s="87"/>
      <c r="AD198" s="87"/>
    </row>
    <row r="199" spans="26:30" x14ac:dyDescent="0.25">
      <c r="Z199" s="87"/>
      <c r="AA199" s="87"/>
      <c r="AB199" s="87"/>
      <c r="AC199" s="87"/>
      <c r="AD199" s="87"/>
    </row>
    <row r="200" spans="26:30" x14ac:dyDescent="0.25">
      <c r="Z200" s="87"/>
      <c r="AA200" s="87"/>
      <c r="AB200" s="87"/>
      <c r="AC200" s="87"/>
      <c r="AD200" s="87"/>
    </row>
    <row r="201" spans="26:30" x14ac:dyDescent="0.25">
      <c r="Z201" s="87"/>
      <c r="AA201" s="87"/>
      <c r="AB201" s="87"/>
      <c r="AC201" s="87"/>
      <c r="AD201" s="87"/>
    </row>
    <row r="202" spans="26:30" x14ac:dyDescent="0.25">
      <c r="Z202" s="87"/>
      <c r="AA202" s="87"/>
      <c r="AB202" s="87"/>
      <c r="AC202" s="87"/>
      <c r="AD202" s="87"/>
    </row>
    <row r="203" spans="26:30" x14ac:dyDescent="0.25">
      <c r="Z203" s="87"/>
      <c r="AA203" s="87"/>
      <c r="AB203" s="87"/>
      <c r="AC203" s="87"/>
      <c r="AD203" s="87"/>
    </row>
    <row r="204" spans="26:30" x14ac:dyDescent="0.25">
      <c r="Z204" s="87"/>
      <c r="AA204" s="87"/>
      <c r="AB204" s="87"/>
      <c r="AC204" s="87"/>
      <c r="AD204" s="87"/>
    </row>
    <row r="205" spans="26:30" x14ac:dyDescent="0.25">
      <c r="Z205" s="87"/>
      <c r="AA205" s="87"/>
      <c r="AB205" s="87"/>
      <c r="AC205" s="87"/>
      <c r="AD205" s="87"/>
    </row>
    <row r="206" spans="26:30" x14ac:dyDescent="0.25">
      <c r="Z206" s="87"/>
      <c r="AA206" s="87"/>
      <c r="AB206" s="87"/>
      <c r="AC206" s="87"/>
      <c r="AD206" s="87"/>
    </row>
    <row r="207" spans="26:30" x14ac:dyDescent="0.25">
      <c r="Z207" s="87"/>
      <c r="AA207" s="87"/>
      <c r="AB207" s="87"/>
      <c r="AC207" s="87"/>
      <c r="AD207" s="87"/>
    </row>
    <row r="208" spans="26:30" x14ac:dyDescent="0.25">
      <c r="Z208" s="87"/>
      <c r="AA208" s="87"/>
      <c r="AB208" s="87"/>
      <c r="AC208" s="87"/>
      <c r="AD208" s="87"/>
    </row>
    <row r="209" spans="26:30" x14ac:dyDescent="0.25">
      <c r="Z209" s="87"/>
      <c r="AA209" s="87"/>
      <c r="AB209" s="87"/>
      <c r="AC209" s="87"/>
      <c r="AD209" s="87"/>
    </row>
    <row r="210" spans="26:30" x14ac:dyDescent="0.25">
      <c r="Z210" s="87"/>
      <c r="AA210" s="87"/>
      <c r="AB210" s="87"/>
      <c r="AC210" s="87"/>
      <c r="AD210" s="87"/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B782-ADDE-4478-9055-A2545947BD30}">
  <sheetPr codeName="Sheet3"/>
  <dimension ref="A1:B69"/>
  <sheetViews>
    <sheetView workbookViewId="0">
      <selection activeCell="D32" sqref="D32"/>
    </sheetView>
  </sheetViews>
  <sheetFormatPr defaultRowHeight="15" x14ac:dyDescent="0.25"/>
  <cols>
    <col min="1" max="2" width="76.5703125" customWidth="1"/>
  </cols>
  <sheetData>
    <row r="1" spans="1:2" x14ac:dyDescent="0.25">
      <c r="A1" s="78" t="s">
        <v>395</v>
      </c>
      <c r="B1" s="78" t="s">
        <v>396</v>
      </c>
    </row>
    <row r="2" spans="1:2" x14ac:dyDescent="0.25">
      <c r="A2" s="79" t="s">
        <v>397</v>
      </c>
      <c r="B2" s="79" t="s">
        <v>398</v>
      </c>
    </row>
    <row r="3" spans="1:2" x14ac:dyDescent="0.25">
      <c r="A3" s="79" t="s">
        <v>399</v>
      </c>
      <c r="B3" s="79" t="s">
        <v>400</v>
      </c>
    </row>
    <row r="4" spans="1:2" x14ac:dyDescent="0.25">
      <c r="A4" s="79" t="s">
        <v>401</v>
      </c>
      <c r="B4" s="79" t="s">
        <v>402</v>
      </c>
    </row>
    <row r="5" spans="1:2" x14ac:dyDescent="0.25">
      <c r="A5" s="79" t="s">
        <v>403</v>
      </c>
      <c r="B5" s="79" t="s">
        <v>404</v>
      </c>
    </row>
    <row r="6" spans="1:2" x14ac:dyDescent="0.25">
      <c r="A6" s="79" t="s">
        <v>405</v>
      </c>
      <c r="B6" s="79" t="s">
        <v>406</v>
      </c>
    </row>
    <row r="7" spans="1:2" x14ac:dyDescent="0.25">
      <c r="A7" s="79" t="s">
        <v>407</v>
      </c>
      <c r="B7" s="79" t="s">
        <v>408</v>
      </c>
    </row>
    <row r="8" spans="1:2" x14ac:dyDescent="0.25">
      <c r="A8" s="79" t="s">
        <v>409</v>
      </c>
      <c r="B8" s="79" t="s">
        <v>410</v>
      </c>
    </row>
    <row r="9" spans="1:2" x14ac:dyDescent="0.25">
      <c r="A9" s="79" t="s">
        <v>411</v>
      </c>
      <c r="B9" s="79" t="s">
        <v>412</v>
      </c>
    </row>
    <row r="10" spans="1:2" x14ac:dyDescent="0.25">
      <c r="A10" s="79" t="s">
        <v>413</v>
      </c>
      <c r="B10" s="79" t="s">
        <v>414</v>
      </c>
    </row>
    <row r="11" spans="1:2" x14ac:dyDescent="0.25">
      <c r="A11" s="79" t="s">
        <v>415</v>
      </c>
      <c r="B11" s="79" t="s">
        <v>416</v>
      </c>
    </row>
    <row r="12" spans="1:2" x14ac:dyDescent="0.25">
      <c r="A12" s="79" t="s">
        <v>417</v>
      </c>
      <c r="B12" s="79" t="s">
        <v>418</v>
      </c>
    </row>
    <row r="13" spans="1:2" x14ac:dyDescent="0.25">
      <c r="A13" s="79" t="s">
        <v>419</v>
      </c>
      <c r="B13" s="79" t="s">
        <v>420</v>
      </c>
    </row>
    <row r="14" spans="1:2" x14ac:dyDescent="0.25">
      <c r="A14" s="79" t="s">
        <v>421</v>
      </c>
      <c r="B14" s="79" t="s">
        <v>422</v>
      </c>
    </row>
    <row r="15" spans="1:2" x14ac:dyDescent="0.25">
      <c r="A15" s="79" t="s">
        <v>423</v>
      </c>
      <c r="B15" s="79" t="s">
        <v>424</v>
      </c>
    </row>
    <row r="16" spans="1:2" x14ac:dyDescent="0.25">
      <c r="A16" s="79" t="s">
        <v>425</v>
      </c>
      <c r="B16" s="79" t="s">
        <v>426</v>
      </c>
    </row>
    <row r="17" spans="1:2" x14ac:dyDescent="0.25">
      <c r="A17" s="79" t="s">
        <v>427</v>
      </c>
      <c r="B17" s="79" t="s">
        <v>428</v>
      </c>
    </row>
    <row r="18" spans="1:2" x14ac:dyDescent="0.25">
      <c r="A18" s="79" t="s">
        <v>429</v>
      </c>
      <c r="B18" s="79" t="s">
        <v>430</v>
      </c>
    </row>
    <row r="19" spans="1:2" x14ac:dyDescent="0.25">
      <c r="A19" s="79" t="s">
        <v>431</v>
      </c>
      <c r="B19" s="79" t="s">
        <v>432</v>
      </c>
    </row>
    <row r="20" spans="1:2" x14ac:dyDescent="0.25">
      <c r="A20" s="79" t="s">
        <v>433</v>
      </c>
      <c r="B20" s="79" t="s">
        <v>434</v>
      </c>
    </row>
    <row r="21" spans="1:2" x14ac:dyDescent="0.25">
      <c r="A21" s="79" t="s">
        <v>435</v>
      </c>
      <c r="B21" s="79" t="s">
        <v>436</v>
      </c>
    </row>
    <row r="22" spans="1:2" x14ac:dyDescent="0.25">
      <c r="A22" s="79" t="s">
        <v>437</v>
      </c>
      <c r="B22" s="79" t="s">
        <v>438</v>
      </c>
    </row>
    <row r="23" spans="1:2" x14ac:dyDescent="0.25">
      <c r="A23" s="79" t="s">
        <v>439</v>
      </c>
      <c r="B23" s="79" t="s">
        <v>440</v>
      </c>
    </row>
    <row r="24" spans="1:2" x14ac:dyDescent="0.25">
      <c r="A24" s="79" t="s">
        <v>441</v>
      </c>
      <c r="B24" s="79" t="s">
        <v>442</v>
      </c>
    </row>
    <row r="25" spans="1:2" x14ac:dyDescent="0.25">
      <c r="A25" s="79" t="s">
        <v>443</v>
      </c>
      <c r="B25" s="79" t="s">
        <v>444</v>
      </c>
    </row>
    <row r="26" spans="1:2" x14ac:dyDescent="0.25">
      <c r="A26" s="79" t="s">
        <v>445</v>
      </c>
      <c r="B26" s="79" t="s">
        <v>446</v>
      </c>
    </row>
    <row r="27" spans="1:2" x14ac:dyDescent="0.25">
      <c r="A27" s="79" t="s">
        <v>447</v>
      </c>
      <c r="B27" s="79" t="s">
        <v>448</v>
      </c>
    </row>
    <row r="28" spans="1:2" x14ac:dyDescent="0.25">
      <c r="A28" s="79" t="s">
        <v>449</v>
      </c>
      <c r="B28" s="79" t="s">
        <v>450</v>
      </c>
    </row>
    <row r="29" spans="1:2" x14ac:dyDescent="0.25">
      <c r="A29" s="79" t="s">
        <v>451</v>
      </c>
      <c r="B29" s="79" t="s">
        <v>452</v>
      </c>
    </row>
    <row r="30" spans="1:2" x14ac:dyDescent="0.25">
      <c r="A30" s="79" t="s">
        <v>453</v>
      </c>
      <c r="B30" s="79" t="s">
        <v>454</v>
      </c>
    </row>
    <row r="31" spans="1:2" x14ac:dyDescent="0.25">
      <c r="A31" s="79" t="s">
        <v>455</v>
      </c>
      <c r="B31" s="79" t="s">
        <v>456</v>
      </c>
    </row>
    <row r="32" spans="1:2" x14ac:dyDescent="0.25">
      <c r="A32" s="79" t="s">
        <v>457</v>
      </c>
      <c r="B32" s="79" t="s">
        <v>458</v>
      </c>
    </row>
    <row r="33" spans="1:2" x14ac:dyDescent="0.25">
      <c r="A33" s="79" t="s">
        <v>459</v>
      </c>
      <c r="B33" s="79" t="s">
        <v>460</v>
      </c>
    </row>
    <row r="34" spans="1:2" x14ac:dyDescent="0.25">
      <c r="A34" s="79" t="s">
        <v>461</v>
      </c>
      <c r="B34" s="79" t="s">
        <v>462</v>
      </c>
    </row>
    <row r="35" spans="1:2" x14ac:dyDescent="0.25">
      <c r="A35" s="79" t="s">
        <v>463</v>
      </c>
      <c r="B35" s="79" t="s">
        <v>464</v>
      </c>
    </row>
    <row r="36" spans="1:2" x14ac:dyDescent="0.25">
      <c r="A36" s="79" t="s">
        <v>465</v>
      </c>
      <c r="B36" s="79" t="s">
        <v>466</v>
      </c>
    </row>
    <row r="37" spans="1:2" x14ac:dyDescent="0.25">
      <c r="A37" s="79" t="s">
        <v>467</v>
      </c>
      <c r="B37" s="79" t="s">
        <v>468</v>
      </c>
    </row>
    <row r="38" spans="1:2" x14ac:dyDescent="0.25">
      <c r="A38" s="79" t="s">
        <v>469</v>
      </c>
      <c r="B38" s="79" t="s">
        <v>470</v>
      </c>
    </row>
    <row r="39" spans="1:2" x14ac:dyDescent="0.25">
      <c r="A39" s="79" t="s">
        <v>471</v>
      </c>
      <c r="B39" s="79" t="s">
        <v>472</v>
      </c>
    </row>
    <row r="40" spans="1:2" x14ac:dyDescent="0.25">
      <c r="A40" s="79" t="s">
        <v>473</v>
      </c>
      <c r="B40" s="79" t="s">
        <v>474</v>
      </c>
    </row>
    <row r="41" spans="1:2" x14ac:dyDescent="0.25">
      <c r="A41" s="79" t="s">
        <v>475</v>
      </c>
      <c r="B41" s="79" t="s">
        <v>476</v>
      </c>
    </row>
    <row r="42" spans="1:2" x14ac:dyDescent="0.25">
      <c r="A42" s="79" t="s">
        <v>477</v>
      </c>
      <c r="B42" s="79" t="s">
        <v>478</v>
      </c>
    </row>
    <row r="43" spans="1:2" x14ac:dyDescent="0.25">
      <c r="A43" s="79" t="s">
        <v>479</v>
      </c>
      <c r="B43" s="79" t="s">
        <v>480</v>
      </c>
    </row>
    <row r="44" spans="1:2" x14ac:dyDescent="0.25">
      <c r="A44" s="79" t="s">
        <v>481</v>
      </c>
      <c r="B44" s="79" t="s">
        <v>482</v>
      </c>
    </row>
    <row r="45" spans="1:2" x14ac:dyDescent="0.25">
      <c r="A45" s="79" t="s">
        <v>483</v>
      </c>
      <c r="B45" s="79" t="s">
        <v>484</v>
      </c>
    </row>
    <row r="46" spans="1:2" x14ac:dyDescent="0.25">
      <c r="A46" s="79" t="s">
        <v>485</v>
      </c>
      <c r="B46" s="79" t="s">
        <v>486</v>
      </c>
    </row>
    <row r="47" spans="1:2" x14ac:dyDescent="0.25">
      <c r="A47" s="79" t="s">
        <v>487</v>
      </c>
      <c r="B47" s="79" t="s">
        <v>488</v>
      </c>
    </row>
    <row r="48" spans="1:2" x14ac:dyDescent="0.25">
      <c r="A48" s="79" t="s">
        <v>489</v>
      </c>
      <c r="B48" s="79" t="s">
        <v>490</v>
      </c>
    </row>
    <row r="49" spans="1:2" x14ac:dyDescent="0.25">
      <c r="A49" s="79" t="s">
        <v>491</v>
      </c>
      <c r="B49" s="79" t="s">
        <v>492</v>
      </c>
    </row>
    <row r="50" spans="1:2" x14ac:dyDescent="0.25">
      <c r="A50" s="79" t="s">
        <v>493</v>
      </c>
      <c r="B50" s="79" t="s">
        <v>494</v>
      </c>
    </row>
    <row r="51" spans="1:2" x14ac:dyDescent="0.25">
      <c r="A51" s="79" t="s">
        <v>495</v>
      </c>
      <c r="B51" s="79" t="s">
        <v>496</v>
      </c>
    </row>
    <row r="52" spans="1:2" x14ac:dyDescent="0.25">
      <c r="A52" s="79" t="s">
        <v>497</v>
      </c>
      <c r="B52" s="79" t="s">
        <v>498</v>
      </c>
    </row>
    <row r="53" spans="1:2" x14ac:dyDescent="0.25">
      <c r="A53" s="79" t="s">
        <v>499</v>
      </c>
      <c r="B53" s="79" t="s">
        <v>500</v>
      </c>
    </row>
    <row r="54" spans="1:2" x14ac:dyDescent="0.25">
      <c r="A54" s="79" t="s">
        <v>501</v>
      </c>
      <c r="B54" s="79" t="s">
        <v>502</v>
      </c>
    </row>
    <row r="55" spans="1:2" x14ac:dyDescent="0.25">
      <c r="A55" s="79" t="s">
        <v>503</v>
      </c>
      <c r="B55" s="79" t="s">
        <v>504</v>
      </c>
    </row>
    <row r="56" spans="1:2" x14ac:dyDescent="0.25">
      <c r="A56" s="79" t="s">
        <v>505</v>
      </c>
      <c r="B56" s="79" t="s">
        <v>506</v>
      </c>
    </row>
    <row r="57" spans="1:2" x14ac:dyDescent="0.25">
      <c r="A57" s="79" t="s">
        <v>507</v>
      </c>
      <c r="B57" s="79" t="s">
        <v>508</v>
      </c>
    </row>
    <row r="58" spans="1:2" x14ac:dyDescent="0.25">
      <c r="A58" s="79" t="s">
        <v>509</v>
      </c>
      <c r="B58" s="79" t="s">
        <v>510</v>
      </c>
    </row>
    <row r="59" spans="1:2" x14ac:dyDescent="0.25">
      <c r="A59" s="79" t="s">
        <v>511</v>
      </c>
      <c r="B59" s="79" t="s">
        <v>512</v>
      </c>
    </row>
    <row r="60" spans="1:2" x14ac:dyDescent="0.25">
      <c r="A60" s="79" t="s">
        <v>513</v>
      </c>
      <c r="B60" s="79" t="s">
        <v>514</v>
      </c>
    </row>
    <row r="61" spans="1:2" x14ac:dyDescent="0.25">
      <c r="A61" s="79" t="s">
        <v>515</v>
      </c>
      <c r="B61" s="79" t="s">
        <v>516</v>
      </c>
    </row>
    <row r="62" spans="1:2" x14ac:dyDescent="0.25">
      <c r="A62" s="79" t="s">
        <v>517</v>
      </c>
      <c r="B62" s="79" t="s">
        <v>518</v>
      </c>
    </row>
    <row r="63" spans="1:2" x14ac:dyDescent="0.25">
      <c r="A63" s="79" t="s">
        <v>519</v>
      </c>
      <c r="B63" s="79" t="s">
        <v>520</v>
      </c>
    </row>
    <row r="64" spans="1:2" x14ac:dyDescent="0.25">
      <c r="A64" s="79" t="s">
        <v>521</v>
      </c>
      <c r="B64" s="79" t="s">
        <v>522</v>
      </c>
    </row>
    <row r="65" spans="1:2" x14ac:dyDescent="0.25">
      <c r="A65" s="79" t="s">
        <v>523</v>
      </c>
      <c r="B65" s="79" t="s">
        <v>524</v>
      </c>
    </row>
    <row r="66" spans="1:2" x14ac:dyDescent="0.25">
      <c r="A66" s="79" t="s">
        <v>525</v>
      </c>
      <c r="B66" s="79" t="s">
        <v>526</v>
      </c>
    </row>
    <row r="67" spans="1:2" x14ac:dyDescent="0.25">
      <c r="A67" s="79" t="s">
        <v>527</v>
      </c>
      <c r="B67" s="79" t="s">
        <v>528</v>
      </c>
    </row>
    <row r="68" spans="1:2" x14ac:dyDescent="0.25">
      <c r="A68" s="79" t="s">
        <v>529</v>
      </c>
      <c r="B68" s="79"/>
    </row>
    <row r="69" spans="1:2" ht="15.75" thickBot="1" x14ac:dyDescent="0.3">
      <c r="A69" s="80" t="s">
        <v>530</v>
      </c>
      <c r="B69" s="80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FinalStats</vt:lpstr>
      <vt:lpstr>Component Identification</vt:lpstr>
      <vt:lpstr>Sentinel-3 Identification</vt:lpstr>
      <vt:lpstr>8-3SampledPixels</vt:lpstr>
      <vt:lpstr>Algal Division BV averages</vt:lpstr>
      <vt:lpstr>Cell Count</vt:lpstr>
      <vt:lpstr>Cell Count Figures</vt:lpstr>
      <vt:lpstr>TIC TC TOC CN</vt:lpstr>
      <vt:lpstr>10nm Pigment+Mineral ID</vt:lpstr>
      <vt:lpstr>Spectral Library 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McKenzie Woodman</dc:creator>
  <cp:lastModifiedBy>McKenzie Woodman</cp:lastModifiedBy>
  <dcterms:created xsi:type="dcterms:W3CDTF">2025-12-24T01:12:57Z</dcterms:created>
  <dcterms:modified xsi:type="dcterms:W3CDTF">2026-01-02T22:53:35Z</dcterms:modified>
</cp:coreProperties>
</file>